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it works" sheetId="1" state="visible" r:id="rId1"/>
    <sheet name="Calendar" sheetId="2" state="visible" r:id="rId2"/>
    <sheet name="Daily Schedule" sheetId="3" state="visible" r:id="rId3"/>
    <sheet name="Group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 mmm yyyy"/>
    <numFmt numFmtId="166" formatCode="ddd dd mmm"/>
  </numFmts>
  <fonts count="8">
    <font>
      <name val="Calibri"/>
      <family val="2"/>
      <color theme="1"/>
      <sz val="11"/>
      <scheme val="minor"/>
    </font>
    <font>
      <b val="1"/>
      <color rgb="001F4B45"/>
      <sz val="16"/>
    </font>
    <font>
      <b val="1"/>
      <color rgb="001F4B45"/>
      <sz val="11"/>
    </font>
    <font>
      <b val="1"/>
      <color rgb="001F4B45"/>
      <sz val="13"/>
    </font>
    <font>
      <i val="1"/>
      <color rgb="00555555"/>
    </font>
    <font>
      <b val="1"/>
      <color rgb="00FFFFFF"/>
    </font>
    <font>
      <b val="1"/>
      <color rgb="001F4B45"/>
    </font>
    <font>
      <b val="1"/>
    </font>
  </fonts>
  <fills count="11">
    <fill>
      <patternFill/>
    </fill>
    <fill>
      <patternFill patternType="gray125"/>
    </fill>
    <fill>
      <patternFill patternType="solid">
        <fgColor rgb="001F4B45"/>
        <bgColor rgb="001F4B45"/>
      </patternFill>
    </fill>
    <fill>
      <patternFill patternType="solid">
        <fgColor rgb="00F1F6F5"/>
        <bgColor rgb="00F1F6F5"/>
      </patternFill>
    </fill>
    <fill>
      <patternFill patternType="solid">
        <fgColor rgb="003E7C74"/>
        <bgColor rgb="003E7C74"/>
      </patternFill>
    </fill>
    <fill>
      <patternFill patternType="solid">
        <fgColor rgb="00B0B0B0"/>
        <bgColor rgb="00B0B0B0"/>
      </patternFill>
    </fill>
    <fill>
      <patternFill patternType="solid">
        <fgColor rgb="00EDEDED"/>
        <bgColor rgb="00EDEDED"/>
      </patternFill>
    </fill>
    <fill>
      <patternFill patternType="solid">
        <fgColor rgb="00D6E7E6"/>
        <bgColor rgb="00D6E7E6"/>
      </patternFill>
    </fill>
    <fill>
      <patternFill patternType="solid">
        <fgColor rgb="00FFFFFF"/>
        <bgColor rgb="00FFFFFF"/>
      </patternFill>
    </fill>
    <fill>
      <patternFill patternType="solid">
        <fgColor rgb="009A9A9A"/>
        <bgColor rgb="009A9A9A"/>
      </patternFill>
    </fill>
    <fill>
      <patternFill patternType="solid">
        <fgColor rgb="00FFF4D6"/>
        <bgColor rgb="00FFF4D6"/>
      </patternFill>
    </fill>
  </fills>
  <borders count="2">
    <border>
      <left/>
      <right/>
      <top/>
      <bottom/>
      <diagonal/>
    </border>
    <border>
      <left style="thin">
        <color rgb="00B7C9C6"/>
      </left>
      <right style="thin">
        <color rgb="00B7C9C6"/>
      </right>
      <top style="thin">
        <color rgb="00B7C9C6"/>
      </top>
      <bottom style="thin">
        <color rgb="00B7C9C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5" fontId="0" fillId="8" borderId="1" pivotButton="0" quotePrefix="0" xfId="0"/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8" borderId="1" applyAlignment="1" pivotButton="0" quotePrefix="0" xfId="0">
      <alignment horizont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0" fontId="0" fillId="3" borderId="1" applyAlignment="1" pivotButton="0" quotePrefix="0" xfId="0">
      <alignment horizontal="center"/>
    </xf>
    <xf numFmtId="0" fontId="0" fillId="10" borderId="1" pivotButton="0" quotePrefix="0" xfId="0"/>
    <xf numFmtId="0" fontId="7" fillId="7" borderId="1" pivotButton="0" quotePrefix="0" xfId="0"/>
    <xf numFmtId="0" fontId="0" fillId="7" borderId="1" pivotButton="0" quotePrefix="0" xfId="0"/>
    <xf numFmtId="10" fontId="0" fillId="7" borderId="1" pivotButton="0" quotePrefix="0" xfId="0"/>
    <xf numFmtId="0" fontId="6" fillId="8" borderId="1" pivotButton="0" quotePrefix="0" xfId="0"/>
    <xf numFmtId="166" fontId="0" fillId="8" borderId="1" applyAlignment="1" pivotButton="0" quotePrefix="0" xfId="0">
      <alignment horizontal="center"/>
    </xf>
    <xf numFmtId="0" fontId="6" fillId="3" borderId="1" pivotButton="0" quotePrefix="0" xfId="0"/>
    <xf numFmtId="166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DEBD3"/>
          <bgColor rgb="00CDEBD3"/>
        </patternFill>
      </fill>
    </dxf>
    <dxf>
      <font>
        <b val="1"/>
        <color rgb="009C0006"/>
      </font>
      <fill>
        <patternFill patternType="solid">
          <fgColor rgb="00F4C7C3"/>
          <bgColor rgb="00F4C7C3"/>
        </patternFill>
      </fill>
    </dxf>
    <dxf>
      <fill>
        <patternFill patternType="solid">
          <fgColor rgb="00D9E1F2"/>
          <bgColor rgb="00D9E1F2"/>
        </patternFill>
      </fill>
    </dxf>
    <dxf>
      <font>
        <i val="1"/>
      </font>
      <fill>
        <patternFill patternType="solid">
          <fgColor rgb="00FFF4D6"/>
          <b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Growmailers · Sending Engine Calendar</t>
        </is>
      </c>
      <c r="B1" s="2" t="n"/>
    </row>
    <row r="2">
      <c r="A2" s="3" t="inlineStr">
        <is>
          <t>Period</t>
        </is>
      </c>
      <c r="B2" s="2" t="inlineStr">
        <is>
          <t>Tue 29 Sep 2026 → Sat 31 Oct 2026 (weekends skipped)</t>
        </is>
      </c>
    </row>
    <row r="3">
      <c r="A3" s="3" t="inlineStr">
        <is>
          <t>New prospects per inbox</t>
        </is>
      </c>
      <c r="B3" s="2" t="inlineStr">
        <is>
          <t>7 per working day = one new "Group" per day</t>
        </is>
      </c>
    </row>
    <row r="4">
      <c r="A4" s="3" t="inlineStr">
        <is>
          <t>Sequence</t>
        </is>
      </c>
      <c r="B4" s="2" t="inlineStr">
        <is>
          <t>Email 1 on working day 1 · Follow-up 1 on day 3 · Follow-up 2 on day 7 · Follow-up 3 on day 13 (last one)</t>
        </is>
      </c>
    </row>
    <row r="5">
      <c r="A5" s="3" t="inlineStr">
        <is>
          <t>Weekends</t>
        </is>
      </c>
      <c r="B5" s="2" t="inlineStr">
        <is>
          <t>Nothing is scheduled Sat/Sun. The day count skips them, so a follow-up can land on a Monday.</t>
        </is>
      </c>
    </row>
    <row r="6">
      <c r="A6" s="3" t="inlineStr">
        <is>
          <t>Replies</t>
        </is>
      </c>
      <c r="B6" s="2" t="inlineStr">
        <is>
          <t>If a prospect replies at any point, the rest of their follow-ups stop and they move to the Reply System.</t>
        </is>
      </c>
    </row>
    <row r="7">
      <c r="A7" s="3" t="inlineStr">
        <is>
          <t>Steady state</t>
        </is>
      </c>
      <c r="B7" s="2" t="inlineStr">
        <is>
          <t>From Thu 15 Oct (working day 13) every day looks the same: 1 new group + 3 follow-ups = 28 emails per inbox.</t>
        </is>
      </c>
    </row>
    <row r="8">
      <c r="A8" s="3" t="inlineStr">
        <is>
          <t>Ramp-up</t>
        </is>
      </c>
      <c r="B8" s="2" t="inlineStr">
        <is>
          <t>Emails per inbox: 7 → 7 → 14 → 14 → 14 → 14 → 21 … → 28 from 15 Oct.</t>
        </is>
      </c>
    </row>
    <row r="9">
      <c r="A9" s="3" t="inlineStr">
        <is>
          <t>Spill-over</t>
        </is>
      </c>
      <c r="B9" s="2" t="inlineStr">
        <is>
          <t>Groups started in the last two weeks of October get follow-ups in November. Those dates are in the Group Tracker.</t>
        </is>
      </c>
    </row>
    <row r="10">
      <c r="A10" s="3" t="inlineStr"/>
      <c r="B10" s="2" t="n"/>
    </row>
    <row r="11">
      <c r="A11" s="4" t="inlineStr">
        <is>
          <t>Tabs</t>
        </is>
      </c>
      <c r="B11" s="2" t="n"/>
    </row>
    <row r="12">
      <c r="A12" s="3" t="inlineStr">
        <is>
          <t>Calendar</t>
        </is>
      </c>
      <c r="B12" s="2" t="inlineStr">
        <is>
          <t>Month view: what goes out each day (per inbox).</t>
        </is>
      </c>
    </row>
    <row r="13">
      <c r="A13" s="3" t="inlineStr">
        <is>
          <t>Daily Schedule</t>
        </is>
      </c>
      <c r="B13" s="2" t="inlineStr">
        <is>
          <t>One row per working day. Fill in live inboxes and actuals (sent, replies, bounces, spam). Mark each day Done.</t>
        </is>
      </c>
    </row>
    <row r="14">
      <c r="A14" s="3" t="inlineStr">
        <is>
          <t>Group Tracker</t>
        </is>
      </c>
      <c r="B14" s="2" t="inlineStr">
        <is>
          <t>One row per group (7 prospects/inbox). Track each of the 4 sends and the replies.</t>
        </is>
      </c>
    </row>
    <row r="15">
      <c r="A15" s="3" t="inlineStr"/>
      <c r="B15" s="2" t="n"/>
    </row>
    <row r="16">
      <c r="A16" s="3" t="inlineStr">
        <is>
          <t>Morning checks (from the playbook)</t>
        </is>
      </c>
      <c r="B16" s="2" t="inlineStr">
        <is>
          <t>Bounce rate over 0.2% → stop the inbox · Spam complaints over 0.1% → stop the inbox</t>
        </is>
      </c>
    </row>
    <row r="17">
      <c r="A17" s="3" t="inlineStr">
        <is>
          <t>Sunday checks</t>
        </is>
      </c>
      <c r="B17" s="2" t="inlineStr">
        <is>
          <t>Inbox placement (not the main inbox → check it) · Blocklists (listed → stop the domain)</t>
        </is>
      </c>
    </row>
    <row r="18">
      <c r="A18" s="3" t="inlineStr">
        <is>
          <t>Colour key</t>
        </is>
      </c>
      <c r="B18" s="2" t="inlineStr">
        <is>
          <t>Green = new group starts · Amber = Monday follow-up · Grey = weekend / no sends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2" customWidth="1" min="8" max="8"/>
  </cols>
  <sheetData>
    <row r="1">
      <c r="A1" s="1" t="inlineStr">
        <is>
          <t>Sending Calendar: Sep 29 to Oct 31, 2026 (per inbox)</t>
        </is>
      </c>
    </row>
    <row r="2">
      <c r="A2" s="5" t="inlineStr">
        <is>
          <t>Each cell shows what one inbox sends that day. G# = Group number (the day that group got its first email). Multiply by the number of live inboxes for totals.</t>
        </is>
      </c>
    </row>
    <row r="4">
      <c r="A4" s="6" t="inlineStr">
        <is>
          <t>Week of</t>
        </is>
      </c>
      <c r="B4" s="6" t="inlineStr">
        <is>
          <t>Mon</t>
        </is>
      </c>
      <c r="C4" s="6" t="inlineStr">
        <is>
          <t>Tue</t>
        </is>
      </c>
      <c r="D4" s="6" t="inlineStr">
        <is>
          <t>Wed</t>
        </is>
      </c>
      <c r="E4" s="6" t="inlineStr">
        <is>
          <t>Thu</t>
        </is>
      </c>
      <c r="F4" s="6" t="inlineStr">
        <is>
          <t>Fri</t>
        </is>
      </c>
      <c r="G4" s="6" t="inlineStr">
        <is>
          <t>Sat</t>
        </is>
      </c>
      <c r="H4" s="6" t="inlineStr">
        <is>
          <t>Sun</t>
        </is>
      </c>
    </row>
    <row r="5">
      <c r="A5" s="7" t="inlineStr">
        <is>
          <t>28 Sep</t>
        </is>
      </c>
      <c r="B5" s="8" t="inlineStr">
        <is>
          <t>Mon 28 Sep</t>
        </is>
      </c>
      <c r="C5" s="9" t="inlineStr">
        <is>
          <t>Tue 29 Sep</t>
        </is>
      </c>
      <c r="D5" s="9" t="inlineStr">
        <is>
          <t>Wed 30 Sep</t>
        </is>
      </c>
      <c r="E5" s="9" t="inlineStr">
        <is>
          <t>Thu 01 Oct</t>
        </is>
      </c>
      <c r="F5" s="9" t="inlineStr">
        <is>
          <t>Fri 02 Oct</t>
        </is>
      </c>
      <c r="G5" s="10" t="inlineStr">
        <is>
          <t>Sat 03 Oct</t>
        </is>
      </c>
      <c r="H5" s="10" t="inlineStr">
        <is>
          <t>Sun 04 Oct</t>
        </is>
      </c>
    </row>
    <row r="6" ht="92" customHeight="1">
      <c r="B6" s="11" t="inlineStr">
        <is>
          <t>—</t>
        </is>
      </c>
      <c r="C6" s="12" t="inlineStr">
        <is>
          <t>Working day 1
NEW → G1 (7 new)
= 7 emails / inbox</t>
        </is>
      </c>
      <c r="D6" s="13" t="inlineStr">
        <is>
          <t>Working day 2
NEW → G2 (7 new)
= 7 emails / inbox</t>
        </is>
      </c>
      <c r="E6" s="13" t="inlineStr">
        <is>
          <t>Working day 3
NEW → G3 (7 new)
FU1 → G1
= 14 emails / inbox</t>
        </is>
      </c>
      <c r="F6" s="13" t="inlineStr">
        <is>
          <t>Working day 4
NEW → G4 (7 new)
FU1 → G2
= 14 emails / inbox</t>
        </is>
      </c>
      <c r="G6" s="11" t="inlineStr">
        <is>
          <t>Weekend
no sends</t>
        </is>
      </c>
      <c r="H6" s="11" t="inlineStr">
        <is>
          <t>Weekend
no sends</t>
        </is>
      </c>
    </row>
    <row r="7">
      <c r="A7" s="7" t="inlineStr">
        <is>
          <t>05 Oct</t>
        </is>
      </c>
      <c r="B7" s="9" t="inlineStr">
        <is>
          <t>Mon 05 Oct</t>
        </is>
      </c>
      <c r="C7" s="9" t="inlineStr">
        <is>
          <t>Tue 06 Oct</t>
        </is>
      </c>
      <c r="D7" s="9" t="inlineStr">
        <is>
          <t>Wed 07 Oct</t>
        </is>
      </c>
      <c r="E7" s="9" t="inlineStr">
        <is>
          <t>Thu 08 Oct</t>
        </is>
      </c>
      <c r="F7" s="9" t="inlineStr">
        <is>
          <t>Fri 09 Oct</t>
        </is>
      </c>
      <c r="G7" s="10" t="inlineStr">
        <is>
          <t>Sat 10 Oct</t>
        </is>
      </c>
      <c r="H7" s="10" t="inlineStr">
        <is>
          <t>Sun 11 Oct</t>
        </is>
      </c>
    </row>
    <row r="8" ht="92" customHeight="1">
      <c r="B8" s="14" t="inlineStr">
        <is>
          <t>Working day 5
NEW → G5 (7 new)
FU1 → G3
= 14 emails / inbox</t>
        </is>
      </c>
      <c r="C8" s="13" t="inlineStr">
        <is>
          <t>Working day 6
NEW → G6 (7 new)
FU1 → G4
= 14 emails / inbox</t>
        </is>
      </c>
      <c r="D8" s="13" t="inlineStr">
        <is>
          <t>Working day 7
NEW → G7 (7 new)
FU1 → G5
FU2 → G1
= 21 emails / inbox</t>
        </is>
      </c>
      <c r="E8" s="13" t="inlineStr">
        <is>
          <t>Working day 8
NEW → G8 (7 new)
FU1 → G6
FU2 → G2
= 21 emails / inbox</t>
        </is>
      </c>
      <c r="F8" s="13" t="inlineStr">
        <is>
          <t>Working day 9
NEW → G9 (7 new)
FU1 → G7
FU2 → G3
= 21 emails / inbox</t>
        </is>
      </c>
      <c r="G8" s="11" t="inlineStr">
        <is>
          <t>Weekend
no sends</t>
        </is>
      </c>
      <c r="H8" s="11" t="inlineStr">
        <is>
          <t>Weekend
no sends</t>
        </is>
      </c>
    </row>
    <row r="9">
      <c r="A9" s="7" t="inlineStr">
        <is>
          <t>12 Oct</t>
        </is>
      </c>
      <c r="B9" s="9" t="inlineStr">
        <is>
          <t>Mon 12 Oct</t>
        </is>
      </c>
      <c r="C9" s="9" t="inlineStr">
        <is>
          <t>Tue 13 Oct</t>
        </is>
      </c>
      <c r="D9" s="9" t="inlineStr">
        <is>
          <t>Wed 14 Oct</t>
        </is>
      </c>
      <c r="E9" s="9" t="inlineStr">
        <is>
          <t>Thu 15 Oct</t>
        </is>
      </c>
      <c r="F9" s="9" t="inlineStr">
        <is>
          <t>Fri 16 Oct</t>
        </is>
      </c>
      <c r="G9" s="10" t="inlineStr">
        <is>
          <t>Sat 17 Oct</t>
        </is>
      </c>
      <c r="H9" s="10" t="inlineStr">
        <is>
          <t>Sun 18 Oct</t>
        </is>
      </c>
    </row>
    <row r="10" ht="92" customHeight="1">
      <c r="B10" s="14" t="inlineStr">
        <is>
          <t>Working day 10
NEW → G10 (7 new)
FU1 → G8
FU2 → G4
= 21 emails / inbox</t>
        </is>
      </c>
      <c r="C10" s="13" t="inlineStr">
        <is>
          <t>Working day 11
NEW → G11 (7 new)
FU1 → G9
FU2 → G5
= 21 emails / inbox</t>
        </is>
      </c>
      <c r="D10" s="13" t="inlineStr">
        <is>
          <t>Working day 12
NEW → G12 (7 new)
FU1 → G10
FU2 → G6
= 21 emails / inbox</t>
        </is>
      </c>
      <c r="E10" s="13" t="inlineStr">
        <is>
          <t>Working day 13
NEW → G13 (7 new)
FU1 → G11
FU2 → G7
FU3 → G1
= 28 emails / inbox</t>
        </is>
      </c>
      <c r="F10" s="13" t="inlineStr">
        <is>
          <t>Working day 14
NEW → G14 (7 new)
FU1 → G12
FU2 → G8
FU3 → G2
= 28 emails / inbox</t>
        </is>
      </c>
      <c r="G10" s="11" t="inlineStr">
        <is>
          <t>Weekend
no sends</t>
        </is>
      </c>
      <c r="H10" s="11" t="inlineStr">
        <is>
          <t>Weekend
no sends</t>
        </is>
      </c>
    </row>
    <row r="11">
      <c r="A11" s="7" t="inlineStr">
        <is>
          <t>19 Oct</t>
        </is>
      </c>
      <c r="B11" s="9" t="inlineStr">
        <is>
          <t>Mon 19 Oct</t>
        </is>
      </c>
      <c r="C11" s="9" t="inlineStr">
        <is>
          <t>Tue 20 Oct</t>
        </is>
      </c>
      <c r="D11" s="9" t="inlineStr">
        <is>
          <t>Wed 21 Oct</t>
        </is>
      </c>
      <c r="E11" s="9" t="inlineStr">
        <is>
          <t>Thu 22 Oct</t>
        </is>
      </c>
      <c r="F11" s="9" t="inlineStr">
        <is>
          <t>Fri 23 Oct</t>
        </is>
      </c>
      <c r="G11" s="10" t="inlineStr">
        <is>
          <t>Sat 24 Oct</t>
        </is>
      </c>
      <c r="H11" s="10" t="inlineStr">
        <is>
          <t>Sun 25 Oct</t>
        </is>
      </c>
    </row>
    <row r="12" ht="92" customHeight="1">
      <c r="B12" s="14" t="inlineStr">
        <is>
          <t>Working day 15
NEW → G15 (7 new)
FU1 → G13
FU2 → G9
FU3 → G3
= 28 emails / inbox</t>
        </is>
      </c>
      <c r="C12" s="13" t="inlineStr">
        <is>
          <t>Working day 16
NEW → G16 (7 new)
FU1 → G14
FU2 → G10
FU3 → G4
= 28 emails / inbox</t>
        </is>
      </c>
      <c r="D12" s="13" t="inlineStr">
        <is>
          <t>Working day 17
NEW → G17 (7 new)
FU1 → G15
FU2 → G11
FU3 → G5
= 28 emails / inbox</t>
        </is>
      </c>
      <c r="E12" s="13" t="inlineStr">
        <is>
          <t>Working day 18
NEW → G18 (7 new)
FU1 → G16
FU2 → G12
FU3 → G6
= 28 emails / inbox</t>
        </is>
      </c>
      <c r="F12" s="13" t="inlineStr">
        <is>
          <t>Working day 19
NEW → G19 (7 new)
FU1 → G17
FU2 → G13
FU3 → G7
= 28 emails / inbox</t>
        </is>
      </c>
      <c r="G12" s="11" t="inlineStr">
        <is>
          <t>Weekend
no sends</t>
        </is>
      </c>
      <c r="H12" s="11" t="inlineStr">
        <is>
          <t>Weekend
no sends</t>
        </is>
      </c>
    </row>
    <row r="13">
      <c r="A13" s="7" t="inlineStr">
        <is>
          <t>26 Oct</t>
        </is>
      </c>
      <c r="B13" s="9" t="inlineStr">
        <is>
          <t>Mon 26 Oct</t>
        </is>
      </c>
      <c r="C13" s="9" t="inlineStr">
        <is>
          <t>Tue 27 Oct</t>
        </is>
      </c>
      <c r="D13" s="9" t="inlineStr">
        <is>
          <t>Wed 28 Oct</t>
        </is>
      </c>
      <c r="E13" s="9" t="inlineStr">
        <is>
          <t>Thu 29 Oct</t>
        </is>
      </c>
      <c r="F13" s="9" t="inlineStr">
        <is>
          <t>Fri 30 Oct</t>
        </is>
      </c>
      <c r="G13" s="10" t="inlineStr">
        <is>
          <t>Sat 31 Oct</t>
        </is>
      </c>
      <c r="H13" s="8" t="inlineStr">
        <is>
          <t>Sun 01 Nov</t>
        </is>
      </c>
    </row>
    <row r="14" ht="92" customHeight="1">
      <c r="B14" s="14" t="inlineStr">
        <is>
          <t>Working day 20
NEW → G20 (7 new)
FU1 → G18
FU2 → G14
FU3 → G8
= 28 emails / inbox</t>
        </is>
      </c>
      <c r="C14" s="13" t="inlineStr">
        <is>
          <t>Working day 21
NEW → G21 (7 new)
FU1 → G19
FU2 → G15
FU3 → G9
= 28 emails / inbox</t>
        </is>
      </c>
      <c r="D14" s="13" t="inlineStr">
        <is>
          <t>Working day 22
NEW → G22 (7 new)
FU1 → G20
FU2 → G16
FU3 → G10
= 28 emails / inbox</t>
        </is>
      </c>
      <c r="E14" s="13" t="inlineStr">
        <is>
          <t>Working day 23
NEW → G23 (7 new)
FU1 → G21
FU2 → G17
FU3 → G11
= 28 emails / inbox</t>
        </is>
      </c>
      <c r="F14" s="13" t="inlineStr">
        <is>
          <t>Working day 24
NEW → G24 (7 new)
FU1 → G22
FU2 → G18
FU3 → G12
= 28 emails / inbox</t>
        </is>
      </c>
      <c r="G14" s="11" t="inlineStr">
        <is>
          <t>Weekend
no sends</t>
        </is>
      </c>
      <c r="H14" s="11" t="inlineStr">
        <is>
          <t>Nov</t>
        </is>
      </c>
    </row>
  </sheetData>
  <mergeCells count="5">
    <mergeCell ref="A5:A6"/>
    <mergeCell ref="A9:A10"/>
    <mergeCell ref="A13:A14"/>
    <mergeCell ref="A7:A8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13" customWidth="1" min="13" max="13"/>
    <col width="12" customWidth="1" min="14" max="14"/>
    <col width="9" customWidth="1" min="15" max="15"/>
    <col width="10" customWidth="1" min="16" max="16"/>
    <col width="9" customWidth="1" min="17" max="17"/>
    <col width="10" customWidth="1" min="18" max="18"/>
    <col width="9" customWidth="1" min="19" max="19"/>
    <col width="14" customWidth="1" min="20" max="20"/>
    <col width="13" customWidth="1" min="21" max="21"/>
    <col width="30" customWidth="1" min="22" max="22"/>
  </cols>
  <sheetData>
    <row r="1" ht="42" customHeight="1">
      <c r="A1" s="6" t="inlineStr">
        <is>
          <t>Date</t>
        </is>
      </c>
      <c r="B1" s="6" t="inlineStr">
        <is>
          <t>Day</t>
        </is>
      </c>
      <c r="C1" s="6" t="inlineStr">
        <is>
          <t>Working day #</t>
        </is>
      </c>
      <c r="D1" s="6" t="inlineStr">
        <is>
          <t>NEW group (Email 1)</t>
        </is>
      </c>
      <c r="E1" s="6" t="inlineStr">
        <is>
          <t>Follow-up 1 to</t>
        </is>
      </c>
      <c r="F1" s="6" t="inlineStr">
        <is>
          <t>Follow-up 2 to</t>
        </is>
      </c>
      <c r="G1" s="6" t="inlineStr">
        <is>
          <t>Follow-up 3 to</t>
        </is>
      </c>
      <c r="H1" s="6" t="inlineStr">
        <is>
          <t>Groups sending</t>
        </is>
      </c>
      <c r="I1" s="6" t="inlineStr">
        <is>
          <t>New prospects / inbox</t>
        </is>
      </c>
      <c r="J1" s="6" t="inlineStr">
        <is>
          <t>Follow-ups / inbox</t>
        </is>
      </c>
      <c r="K1" s="6" t="inlineStr">
        <is>
          <t>Total emails / inbox</t>
        </is>
      </c>
      <c r="L1" s="6" t="inlineStr">
        <is>
          <t>Live inboxes (fill in)</t>
        </is>
      </c>
      <c r="M1" s="6" t="inlineStr">
        <is>
          <t>Planned emails (all inboxes)</t>
        </is>
      </c>
      <c r="N1" s="6" t="inlineStr">
        <is>
          <t>Actual emails sent</t>
        </is>
      </c>
      <c r="O1" s="6" t="inlineStr">
        <is>
          <t>Replies</t>
        </is>
      </c>
      <c r="P1" s="6" t="inlineStr">
        <is>
          <t>Positive replies</t>
        </is>
      </c>
      <c r="Q1" s="6" t="inlineStr">
        <is>
          <t>Bounces</t>
        </is>
      </c>
      <c r="R1" s="6" t="inlineStr">
        <is>
          <t>Spam complaints</t>
        </is>
      </c>
      <c r="S1" s="6" t="inlineStr">
        <is>
          <t>Bounce %</t>
        </is>
      </c>
      <c r="T1" s="6" t="inlineStr">
        <is>
          <t>Owner</t>
        </is>
      </c>
      <c r="U1" s="6" t="inlineStr">
        <is>
          <t>Status</t>
        </is>
      </c>
      <c r="V1" s="6" t="inlineStr">
        <is>
          <t>Notes</t>
        </is>
      </c>
    </row>
    <row r="2">
      <c r="A2" s="15" t="n">
        <v>46294</v>
      </c>
      <c r="B2" s="16" t="inlineStr">
        <is>
          <t>Tue</t>
        </is>
      </c>
      <c r="C2" s="17" t="n">
        <v>1</v>
      </c>
      <c r="D2" s="16" t="inlineStr">
        <is>
          <t>G1</t>
        </is>
      </c>
      <c r="E2" s="17" t="inlineStr">
        <is>
          <t>—</t>
        </is>
      </c>
      <c r="F2" s="17" t="inlineStr">
        <is>
          <t>—</t>
        </is>
      </c>
      <c r="G2" s="17" t="inlineStr">
        <is>
          <t>—</t>
        </is>
      </c>
      <c r="H2" s="17">
        <f>COUNTIF(D2:G2,"G*")</f>
        <v/>
      </c>
      <c r="I2" s="17">
        <f>IF(D2="—",0,7)</f>
        <v/>
      </c>
      <c r="J2" s="17">
        <f>K2-I2</f>
        <v/>
      </c>
      <c r="K2" s="17">
        <f>H2*7</f>
        <v/>
      </c>
      <c r="L2" s="18" t="n"/>
      <c r="M2" s="17">
        <f>IF(L2="","",K2*L2)</f>
        <v/>
      </c>
      <c r="N2" s="18" t="n"/>
      <c r="O2" s="18" t="n"/>
      <c r="P2" s="18" t="n"/>
      <c r="Q2" s="18" t="n"/>
      <c r="R2" s="18" t="n"/>
      <c r="S2" s="19">
        <f>IF(OR(N2="",N2=0,Q2=""),"",Q2/N2)</f>
        <v/>
      </c>
      <c r="T2" s="20" t="n"/>
      <c r="U2" s="20" t="inlineStr">
        <is>
          <t>Pending</t>
        </is>
      </c>
      <c r="V2" s="20" t="n"/>
    </row>
    <row r="3">
      <c r="A3" s="21" t="n">
        <v>46295</v>
      </c>
      <c r="B3" s="22" t="inlineStr">
        <is>
          <t>Wed</t>
        </is>
      </c>
      <c r="C3" s="23" t="n">
        <v>2</v>
      </c>
      <c r="D3" s="22" t="inlineStr">
        <is>
          <t>G2</t>
        </is>
      </c>
      <c r="E3" s="23" t="inlineStr">
        <is>
          <t>—</t>
        </is>
      </c>
      <c r="F3" s="23" t="inlineStr">
        <is>
          <t>—</t>
        </is>
      </c>
      <c r="G3" s="23" t="inlineStr">
        <is>
          <t>—</t>
        </is>
      </c>
      <c r="H3" s="23">
        <f>COUNTIF(D3:G3,"G*")</f>
        <v/>
      </c>
      <c r="I3" s="23">
        <f>IF(D3="—",0,7)</f>
        <v/>
      </c>
      <c r="J3" s="23">
        <f>K3-I3</f>
        <v/>
      </c>
      <c r="K3" s="23">
        <f>H3*7</f>
        <v/>
      </c>
      <c r="L3" s="18" t="n"/>
      <c r="M3" s="23">
        <f>IF(L3="","",K3*L3)</f>
        <v/>
      </c>
      <c r="N3" s="18" t="n"/>
      <c r="O3" s="18" t="n"/>
      <c r="P3" s="18" t="n"/>
      <c r="Q3" s="18" t="n"/>
      <c r="R3" s="18" t="n"/>
      <c r="S3" s="24">
        <f>IF(OR(N3="",N3=0,Q3=""),"",Q3/N3)</f>
        <v/>
      </c>
      <c r="T3" s="20" t="n"/>
      <c r="U3" s="20" t="inlineStr">
        <is>
          <t>Pending</t>
        </is>
      </c>
      <c r="V3" s="20" t="n"/>
    </row>
    <row r="4">
      <c r="A4" s="15" t="n">
        <v>46296</v>
      </c>
      <c r="B4" s="16" t="inlineStr">
        <is>
          <t>Thu</t>
        </is>
      </c>
      <c r="C4" s="17" t="n">
        <v>3</v>
      </c>
      <c r="D4" s="16" t="inlineStr">
        <is>
          <t>G3</t>
        </is>
      </c>
      <c r="E4" s="17" t="inlineStr">
        <is>
          <t>G1</t>
        </is>
      </c>
      <c r="F4" s="17" t="inlineStr">
        <is>
          <t>—</t>
        </is>
      </c>
      <c r="G4" s="17" t="inlineStr">
        <is>
          <t>—</t>
        </is>
      </c>
      <c r="H4" s="17">
        <f>COUNTIF(D4:G4,"G*")</f>
        <v/>
      </c>
      <c r="I4" s="17">
        <f>IF(D4="—",0,7)</f>
        <v/>
      </c>
      <c r="J4" s="17">
        <f>K4-I4</f>
        <v/>
      </c>
      <c r="K4" s="17">
        <f>H4*7</f>
        <v/>
      </c>
      <c r="L4" s="18" t="n"/>
      <c r="M4" s="17">
        <f>IF(L4="","",K4*L4)</f>
        <v/>
      </c>
      <c r="N4" s="18" t="n"/>
      <c r="O4" s="18" t="n"/>
      <c r="P4" s="18" t="n"/>
      <c r="Q4" s="18" t="n"/>
      <c r="R4" s="18" t="n"/>
      <c r="S4" s="19">
        <f>IF(OR(N4="",N4=0,Q4=""),"",Q4/N4)</f>
        <v/>
      </c>
      <c r="T4" s="20" t="n"/>
      <c r="U4" s="20" t="inlineStr">
        <is>
          <t>Pending</t>
        </is>
      </c>
      <c r="V4" s="20" t="n"/>
    </row>
    <row r="5">
      <c r="A5" s="21" t="n">
        <v>46297</v>
      </c>
      <c r="B5" s="22" t="inlineStr">
        <is>
          <t>Fri</t>
        </is>
      </c>
      <c r="C5" s="23" t="n">
        <v>4</v>
      </c>
      <c r="D5" s="22" t="inlineStr">
        <is>
          <t>G4</t>
        </is>
      </c>
      <c r="E5" s="23" t="inlineStr">
        <is>
          <t>G2</t>
        </is>
      </c>
      <c r="F5" s="23" t="inlineStr">
        <is>
          <t>—</t>
        </is>
      </c>
      <c r="G5" s="23" t="inlineStr">
        <is>
          <t>—</t>
        </is>
      </c>
      <c r="H5" s="23">
        <f>COUNTIF(D5:G5,"G*")</f>
        <v/>
      </c>
      <c r="I5" s="23">
        <f>IF(D5="—",0,7)</f>
        <v/>
      </c>
      <c r="J5" s="23">
        <f>K5-I5</f>
        <v/>
      </c>
      <c r="K5" s="23">
        <f>H5*7</f>
        <v/>
      </c>
      <c r="L5" s="18" t="n"/>
      <c r="M5" s="23">
        <f>IF(L5="","",K5*L5)</f>
        <v/>
      </c>
      <c r="N5" s="18" t="n"/>
      <c r="O5" s="18" t="n"/>
      <c r="P5" s="18" t="n"/>
      <c r="Q5" s="18" t="n"/>
      <c r="R5" s="18" t="n"/>
      <c r="S5" s="24">
        <f>IF(OR(N5="",N5=0,Q5=""),"",Q5/N5)</f>
        <v/>
      </c>
      <c r="T5" s="20" t="n"/>
      <c r="U5" s="20" t="inlineStr">
        <is>
          <t>Pending</t>
        </is>
      </c>
      <c r="V5" s="20" t="n"/>
    </row>
    <row r="6">
      <c r="A6" s="15" t="n">
        <v>46300</v>
      </c>
      <c r="B6" s="25" t="inlineStr">
        <is>
          <t>Mon</t>
        </is>
      </c>
      <c r="C6" s="17" t="n">
        <v>5</v>
      </c>
      <c r="D6" s="16" t="inlineStr">
        <is>
          <t>G5</t>
        </is>
      </c>
      <c r="E6" s="17" t="inlineStr">
        <is>
          <t>G3</t>
        </is>
      </c>
      <c r="F6" s="17" t="inlineStr">
        <is>
          <t>—</t>
        </is>
      </c>
      <c r="G6" s="17" t="inlineStr">
        <is>
          <t>—</t>
        </is>
      </c>
      <c r="H6" s="17">
        <f>COUNTIF(D6:G6,"G*")</f>
        <v/>
      </c>
      <c r="I6" s="17">
        <f>IF(D6="—",0,7)</f>
        <v/>
      </c>
      <c r="J6" s="17">
        <f>K6-I6</f>
        <v/>
      </c>
      <c r="K6" s="17">
        <f>H6*7</f>
        <v/>
      </c>
      <c r="L6" s="18" t="n"/>
      <c r="M6" s="17">
        <f>IF(L6="","",K6*L6)</f>
        <v/>
      </c>
      <c r="N6" s="18" t="n"/>
      <c r="O6" s="18" t="n"/>
      <c r="P6" s="18" t="n"/>
      <c r="Q6" s="18" t="n"/>
      <c r="R6" s="18" t="n"/>
      <c r="S6" s="19">
        <f>IF(OR(N6="",N6=0,Q6=""),"",Q6/N6)</f>
        <v/>
      </c>
      <c r="T6" s="20" t="n"/>
      <c r="U6" s="20" t="inlineStr">
        <is>
          <t>Pending</t>
        </is>
      </c>
      <c r="V6" s="20" t="n"/>
    </row>
    <row r="7">
      <c r="A7" s="21" t="n">
        <v>46301</v>
      </c>
      <c r="B7" s="22" t="inlineStr">
        <is>
          <t>Tue</t>
        </is>
      </c>
      <c r="C7" s="23" t="n">
        <v>6</v>
      </c>
      <c r="D7" s="22" t="inlineStr">
        <is>
          <t>G6</t>
        </is>
      </c>
      <c r="E7" s="23" t="inlineStr">
        <is>
          <t>G4</t>
        </is>
      </c>
      <c r="F7" s="23" t="inlineStr">
        <is>
          <t>—</t>
        </is>
      </c>
      <c r="G7" s="23" t="inlineStr">
        <is>
          <t>—</t>
        </is>
      </c>
      <c r="H7" s="23">
        <f>COUNTIF(D7:G7,"G*")</f>
        <v/>
      </c>
      <c r="I7" s="23">
        <f>IF(D7="—",0,7)</f>
        <v/>
      </c>
      <c r="J7" s="23">
        <f>K7-I7</f>
        <v/>
      </c>
      <c r="K7" s="23">
        <f>H7*7</f>
        <v/>
      </c>
      <c r="L7" s="18" t="n"/>
      <c r="M7" s="23">
        <f>IF(L7="","",K7*L7)</f>
        <v/>
      </c>
      <c r="N7" s="18" t="n"/>
      <c r="O7" s="18" t="n"/>
      <c r="P7" s="18" t="n"/>
      <c r="Q7" s="18" t="n"/>
      <c r="R7" s="18" t="n"/>
      <c r="S7" s="24">
        <f>IF(OR(N7="",N7=0,Q7=""),"",Q7/N7)</f>
        <v/>
      </c>
      <c r="T7" s="20" t="n"/>
      <c r="U7" s="20" t="inlineStr">
        <is>
          <t>Pending</t>
        </is>
      </c>
      <c r="V7" s="20" t="n"/>
    </row>
    <row r="8">
      <c r="A8" s="15" t="n">
        <v>46302</v>
      </c>
      <c r="B8" s="16" t="inlineStr">
        <is>
          <t>Wed</t>
        </is>
      </c>
      <c r="C8" s="17" t="n">
        <v>7</v>
      </c>
      <c r="D8" s="16" t="inlineStr">
        <is>
          <t>G7</t>
        </is>
      </c>
      <c r="E8" s="17" t="inlineStr">
        <is>
          <t>G5</t>
        </is>
      </c>
      <c r="F8" s="17" t="inlineStr">
        <is>
          <t>G1</t>
        </is>
      </c>
      <c r="G8" s="17" t="inlineStr">
        <is>
          <t>—</t>
        </is>
      </c>
      <c r="H8" s="17">
        <f>COUNTIF(D8:G8,"G*")</f>
        <v/>
      </c>
      <c r="I8" s="17">
        <f>IF(D8="—",0,7)</f>
        <v/>
      </c>
      <c r="J8" s="17">
        <f>K8-I8</f>
        <v/>
      </c>
      <c r="K8" s="17">
        <f>H8*7</f>
        <v/>
      </c>
      <c r="L8" s="18" t="n"/>
      <c r="M8" s="17">
        <f>IF(L8="","",K8*L8)</f>
        <v/>
      </c>
      <c r="N8" s="18" t="n"/>
      <c r="O8" s="18" t="n"/>
      <c r="P8" s="18" t="n"/>
      <c r="Q8" s="18" t="n"/>
      <c r="R8" s="18" t="n"/>
      <c r="S8" s="19">
        <f>IF(OR(N8="",N8=0,Q8=""),"",Q8/N8)</f>
        <v/>
      </c>
      <c r="T8" s="20" t="n"/>
      <c r="U8" s="20" t="inlineStr">
        <is>
          <t>Pending</t>
        </is>
      </c>
      <c r="V8" s="20" t="n"/>
    </row>
    <row r="9">
      <c r="A9" s="21" t="n">
        <v>46303</v>
      </c>
      <c r="B9" s="22" t="inlineStr">
        <is>
          <t>Thu</t>
        </is>
      </c>
      <c r="C9" s="23" t="n">
        <v>8</v>
      </c>
      <c r="D9" s="22" t="inlineStr">
        <is>
          <t>G8</t>
        </is>
      </c>
      <c r="E9" s="23" t="inlineStr">
        <is>
          <t>G6</t>
        </is>
      </c>
      <c r="F9" s="23" t="inlineStr">
        <is>
          <t>G2</t>
        </is>
      </c>
      <c r="G9" s="23" t="inlineStr">
        <is>
          <t>—</t>
        </is>
      </c>
      <c r="H9" s="23">
        <f>COUNTIF(D9:G9,"G*")</f>
        <v/>
      </c>
      <c r="I9" s="23">
        <f>IF(D9="—",0,7)</f>
        <v/>
      </c>
      <c r="J9" s="23">
        <f>K9-I9</f>
        <v/>
      </c>
      <c r="K9" s="23">
        <f>H9*7</f>
        <v/>
      </c>
      <c r="L9" s="18" t="n"/>
      <c r="M9" s="23">
        <f>IF(L9="","",K9*L9)</f>
        <v/>
      </c>
      <c r="N9" s="18" t="n"/>
      <c r="O9" s="18" t="n"/>
      <c r="P9" s="18" t="n"/>
      <c r="Q9" s="18" t="n"/>
      <c r="R9" s="18" t="n"/>
      <c r="S9" s="24">
        <f>IF(OR(N9="",N9=0,Q9=""),"",Q9/N9)</f>
        <v/>
      </c>
      <c r="T9" s="20" t="n"/>
      <c r="U9" s="20" t="inlineStr">
        <is>
          <t>Pending</t>
        </is>
      </c>
      <c r="V9" s="20" t="n"/>
    </row>
    <row r="10">
      <c r="A10" s="15" t="n">
        <v>46304</v>
      </c>
      <c r="B10" s="16" t="inlineStr">
        <is>
          <t>Fri</t>
        </is>
      </c>
      <c r="C10" s="17" t="n">
        <v>9</v>
      </c>
      <c r="D10" s="16" t="inlineStr">
        <is>
          <t>G9</t>
        </is>
      </c>
      <c r="E10" s="17" t="inlineStr">
        <is>
          <t>G7</t>
        </is>
      </c>
      <c r="F10" s="17" t="inlineStr">
        <is>
          <t>G3</t>
        </is>
      </c>
      <c r="G10" s="17" t="inlineStr">
        <is>
          <t>—</t>
        </is>
      </c>
      <c r="H10" s="17">
        <f>COUNTIF(D10:G10,"G*")</f>
        <v/>
      </c>
      <c r="I10" s="17">
        <f>IF(D10="—",0,7)</f>
        <v/>
      </c>
      <c r="J10" s="17">
        <f>K10-I10</f>
        <v/>
      </c>
      <c r="K10" s="17">
        <f>H10*7</f>
        <v/>
      </c>
      <c r="L10" s="18" t="n"/>
      <c r="M10" s="17">
        <f>IF(L10="","",K10*L10)</f>
        <v/>
      </c>
      <c r="N10" s="18" t="n"/>
      <c r="O10" s="18" t="n"/>
      <c r="P10" s="18" t="n"/>
      <c r="Q10" s="18" t="n"/>
      <c r="R10" s="18" t="n"/>
      <c r="S10" s="19">
        <f>IF(OR(N10="",N10=0,Q10=""),"",Q10/N10)</f>
        <v/>
      </c>
      <c r="T10" s="20" t="n"/>
      <c r="U10" s="20" t="inlineStr">
        <is>
          <t>Pending</t>
        </is>
      </c>
      <c r="V10" s="20" t="n"/>
    </row>
    <row r="11">
      <c r="A11" s="21" t="n">
        <v>46307</v>
      </c>
      <c r="B11" s="25" t="inlineStr">
        <is>
          <t>Mon</t>
        </is>
      </c>
      <c r="C11" s="23" t="n">
        <v>10</v>
      </c>
      <c r="D11" s="22" t="inlineStr">
        <is>
          <t>G10</t>
        </is>
      </c>
      <c r="E11" s="23" t="inlineStr">
        <is>
          <t>G8</t>
        </is>
      </c>
      <c r="F11" s="23" t="inlineStr">
        <is>
          <t>G4</t>
        </is>
      </c>
      <c r="G11" s="23" t="inlineStr">
        <is>
          <t>—</t>
        </is>
      </c>
      <c r="H11" s="23">
        <f>COUNTIF(D11:G11,"G*")</f>
        <v/>
      </c>
      <c r="I11" s="23">
        <f>IF(D11="—",0,7)</f>
        <v/>
      </c>
      <c r="J11" s="23">
        <f>K11-I11</f>
        <v/>
      </c>
      <c r="K11" s="23">
        <f>H11*7</f>
        <v/>
      </c>
      <c r="L11" s="18" t="n"/>
      <c r="M11" s="23">
        <f>IF(L11="","",K11*L11)</f>
        <v/>
      </c>
      <c r="N11" s="18" t="n"/>
      <c r="O11" s="18" t="n"/>
      <c r="P11" s="18" t="n"/>
      <c r="Q11" s="18" t="n"/>
      <c r="R11" s="18" t="n"/>
      <c r="S11" s="24">
        <f>IF(OR(N11="",N11=0,Q11=""),"",Q11/N11)</f>
        <v/>
      </c>
      <c r="T11" s="20" t="n"/>
      <c r="U11" s="20" t="inlineStr">
        <is>
          <t>Pending</t>
        </is>
      </c>
      <c r="V11" s="20" t="n"/>
    </row>
    <row r="12">
      <c r="A12" s="15" t="n">
        <v>46308</v>
      </c>
      <c r="B12" s="16" t="inlineStr">
        <is>
          <t>Tue</t>
        </is>
      </c>
      <c r="C12" s="17" t="n">
        <v>11</v>
      </c>
      <c r="D12" s="16" t="inlineStr">
        <is>
          <t>G11</t>
        </is>
      </c>
      <c r="E12" s="17" t="inlineStr">
        <is>
          <t>G9</t>
        </is>
      </c>
      <c r="F12" s="17" t="inlineStr">
        <is>
          <t>G5</t>
        </is>
      </c>
      <c r="G12" s="17" t="inlineStr">
        <is>
          <t>—</t>
        </is>
      </c>
      <c r="H12" s="17">
        <f>COUNTIF(D12:G12,"G*")</f>
        <v/>
      </c>
      <c r="I12" s="17">
        <f>IF(D12="—",0,7)</f>
        <v/>
      </c>
      <c r="J12" s="17">
        <f>K12-I12</f>
        <v/>
      </c>
      <c r="K12" s="17">
        <f>H12*7</f>
        <v/>
      </c>
      <c r="L12" s="18" t="n"/>
      <c r="M12" s="17">
        <f>IF(L12="","",K12*L12)</f>
        <v/>
      </c>
      <c r="N12" s="18" t="n"/>
      <c r="O12" s="18" t="n"/>
      <c r="P12" s="18" t="n"/>
      <c r="Q12" s="18" t="n"/>
      <c r="R12" s="18" t="n"/>
      <c r="S12" s="19">
        <f>IF(OR(N12="",N12=0,Q12=""),"",Q12/N12)</f>
        <v/>
      </c>
      <c r="T12" s="20" t="n"/>
      <c r="U12" s="20" t="inlineStr">
        <is>
          <t>Pending</t>
        </is>
      </c>
      <c r="V12" s="20" t="n"/>
    </row>
    <row r="13">
      <c r="A13" s="21" t="n">
        <v>46309</v>
      </c>
      <c r="B13" s="22" t="inlineStr">
        <is>
          <t>Wed</t>
        </is>
      </c>
      <c r="C13" s="23" t="n">
        <v>12</v>
      </c>
      <c r="D13" s="22" t="inlineStr">
        <is>
          <t>G12</t>
        </is>
      </c>
      <c r="E13" s="23" t="inlineStr">
        <is>
          <t>G10</t>
        </is>
      </c>
      <c r="F13" s="23" t="inlineStr">
        <is>
          <t>G6</t>
        </is>
      </c>
      <c r="G13" s="23" t="inlineStr">
        <is>
          <t>—</t>
        </is>
      </c>
      <c r="H13" s="23">
        <f>COUNTIF(D13:G13,"G*")</f>
        <v/>
      </c>
      <c r="I13" s="23">
        <f>IF(D13="—",0,7)</f>
        <v/>
      </c>
      <c r="J13" s="23">
        <f>K13-I13</f>
        <v/>
      </c>
      <c r="K13" s="23">
        <f>H13*7</f>
        <v/>
      </c>
      <c r="L13" s="18" t="n"/>
      <c r="M13" s="23">
        <f>IF(L13="","",K13*L13)</f>
        <v/>
      </c>
      <c r="N13" s="18" t="n"/>
      <c r="O13" s="18" t="n"/>
      <c r="P13" s="18" t="n"/>
      <c r="Q13" s="18" t="n"/>
      <c r="R13" s="18" t="n"/>
      <c r="S13" s="24">
        <f>IF(OR(N13="",N13=0,Q13=""),"",Q13/N13)</f>
        <v/>
      </c>
      <c r="T13" s="20" t="n"/>
      <c r="U13" s="20" t="inlineStr">
        <is>
          <t>Pending</t>
        </is>
      </c>
      <c r="V13" s="20" t="n"/>
    </row>
    <row r="14">
      <c r="A14" s="15" t="n">
        <v>46310</v>
      </c>
      <c r="B14" s="16" t="inlineStr">
        <is>
          <t>Thu</t>
        </is>
      </c>
      <c r="C14" s="17" t="n">
        <v>13</v>
      </c>
      <c r="D14" s="16" t="inlineStr">
        <is>
          <t>G13</t>
        </is>
      </c>
      <c r="E14" s="17" t="inlineStr">
        <is>
          <t>G11</t>
        </is>
      </c>
      <c r="F14" s="17" t="inlineStr">
        <is>
          <t>G7</t>
        </is>
      </c>
      <c r="G14" s="17" t="inlineStr">
        <is>
          <t>G1</t>
        </is>
      </c>
      <c r="H14" s="17">
        <f>COUNTIF(D14:G14,"G*")</f>
        <v/>
      </c>
      <c r="I14" s="17">
        <f>IF(D14="—",0,7)</f>
        <v/>
      </c>
      <c r="J14" s="17">
        <f>K14-I14</f>
        <v/>
      </c>
      <c r="K14" s="17">
        <f>H14*7</f>
        <v/>
      </c>
      <c r="L14" s="18" t="n"/>
      <c r="M14" s="17">
        <f>IF(L14="","",K14*L14)</f>
        <v/>
      </c>
      <c r="N14" s="18" t="n"/>
      <c r="O14" s="18" t="n"/>
      <c r="P14" s="18" t="n"/>
      <c r="Q14" s="18" t="n"/>
      <c r="R14" s="18" t="n"/>
      <c r="S14" s="19">
        <f>IF(OR(N14="",N14=0,Q14=""),"",Q14/N14)</f>
        <v/>
      </c>
      <c r="T14" s="20" t="n"/>
      <c r="U14" s="20" t="inlineStr">
        <is>
          <t>Pending</t>
        </is>
      </c>
      <c r="V14" s="20" t="n"/>
    </row>
    <row r="15">
      <c r="A15" s="21" t="n">
        <v>46311</v>
      </c>
      <c r="B15" s="22" t="inlineStr">
        <is>
          <t>Fri</t>
        </is>
      </c>
      <c r="C15" s="23" t="n">
        <v>14</v>
      </c>
      <c r="D15" s="22" t="inlineStr">
        <is>
          <t>G14</t>
        </is>
      </c>
      <c r="E15" s="23" t="inlineStr">
        <is>
          <t>G12</t>
        </is>
      </c>
      <c r="F15" s="23" t="inlineStr">
        <is>
          <t>G8</t>
        </is>
      </c>
      <c r="G15" s="23" t="inlineStr">
        <is>
          <t>G2</t>
        </is>
      </c>
      <c r="H15" s="23">
        <f>COUNTIF(D15:G15,"G*")</f>
        <v/>
      </c>
      <c r="I15" s="23">
        <f>IF(D15="—",0,7)</f>
        <v/>
      </c>
      <c r="J15" s="23">
        <f>K15-I15</f>
        <v/>
      </c>
      <c r="K15" s="23">
        <f>H15*7</f>
        <v/>
      </c>
      <c r="L15" s="18" t="n"/>
      <c r="M15" s="23">
        <f>IF(L15="","",K15*L15)</f>
        <v/>
      </c>
      <c r="N15" s="18" t="n"/>
      <c r="O15" s="18" t="n"/>
      <c r="P15" s="18" t="n"/>
      <c r="Q15" s="18" t="n"/>
      <c r="R15" s="18" t="n"/>
      <c r="S15" s="24">
        <f>IF(OR(N15="",N15=0,Q15=""),"",Q15/N15)</f>
        <v/>
      </c>
      <c r="T15" s="20" t="n"/>
      <c r="U15" s="20" t="inlineStr">
        <is>
          <t>Pending</t>
        </is>
      </c>
      <c r="V15" s="20" t="n"/>
    </row>
    <row r="16">
      <c r="A16" s="15" t="n">
        <v>46314</v>
      </c>
      <c r="B16" s="25" t="inlineStr">
        <is>
          <t>Mon</t>
        </is>
      </c>
      <c r="C16" s="17" t="n">
        <v>15</v>
      </c>
      <c r="D16" s="16" t="inlineStr">
        <is>
          <t>G15</t>
        </is>
      </c>
      <c r="E16" s="17" t="inlineStr">
        <is>
          <t>G13</t>
        </is>
      </c>
      <c r="F16" s="17" t="inlineStr">
        <is>
          <t>G9</t>
        </is>
      </c>
      <c r="G16" s="17" t="inlineStr">
        <is>
          <t>G3</t>
        </is>
      </c>
      <c r="H16" s="17">
        <f>COUNTIF(D16:G16,"G*")</f>
        <v/>
      </c>
      <c r="I16" s="17">
        <f>IF(D16="—",0,7)</f>
        <v/>
      </c>
      <c r="J16" s="17">
        <f>K16-I16</f>
        <v/>
      </c>
      <c r="K16" s="17">
        <f>H16*7</f>
        <v/>
      </c>
      <c r="L16" s="18" t="n"/>
      <c r="M16" s="17">
        <f>IF(L16="","",K16*L16)</f>
        <v/>
      </c>
      <c r="N16" s="18" t="n"/>
      <c r="O16" s="18" t="n"/>
      <c r="P16" s="18" t="n"/>
      <c r="Q16" s="18" t="n"/>
      <c r="R16" s="18" t="n"/>
      <c r="S16" s="19">
        <f>IF(OR(N16="",N16=0,Q16=""),"",Q16/N16)</f>
        <v/>
      </c>
      <c r="T16" s="20" t="n"/>
      <c r="U16" s="20" t="inlineStr">
        <is>
          <t>Pending</t>
        </is>
      </c>
      <c r="V16" s="20" t="n"/>
    </row>
    <row r="17">
      <c r="A17" s="21" t="n">
        <v>46315</v>
      </c>
      <c r="B17" s="22" t="inlineStr">
        <is>
          <t>Tue</t>
        </is>
      </c>
      <c r="C17" s="23" t="n">
        <v>16</v>
      </c>
      <c r="D17" s="22" t="inlineStr">
        <is>
          <t>G16</t>
        </is>
      </c>
      <c r="E17" s="23" t="inlineStr">
        <is>
          <t>G14</t>
        </is>
      </c>
      <c r="F17" s="23" t="inlineStr">
        <is>
          <t>G10</t>
        </is>
      </c>
      <c r="G17" s="23" t="inlineStr">
        <is>
          <t>G4</t>
        </is>
      </c>
      <c r="H17" s="23">
        <f>COUNTIF(D17:G17,"G*")</f>
        <v/>
      </c>
      <c r="I17" s="23">
        <f>IF(D17="—",0,7)</f>
        <v/>
      </c>
      <c r="J17" s="23">
        <f>K17-I17</f>
        <v/>
      </c>
      <c r="K17" s="23">
        <f>H17*7</f>
        <v/>
      </c>
      <c r="L17" s="18" t="n"/>
      <c r="M17" s="23">
        <f>IF(L17="","",K17*L17)</f>
        <v/>
      </c>
      <c r="N17" s="18" t="n"/>
      <c r="O17" s="18" t="n"/>
      <c r="P17" s="18" t="n"/>
      <c r="Q17" s="18" t="n"/>
      <c r="R17" s="18" t="n"/>
      <c r="S17" s="24">
        <f>IF(OR(N17="",N17=0,Q17=""),"",Q17/N17)</f>
        <v/>
      </c>
      <c r="T17" s="20" t="n"/>
      <c r="U17" s="20" t="inlineStr">
        <is>
          <t>Pending</t>
        </is>
      </c>
      <c r="V17" s="20" t="n"/>
    </row>
    <row r="18">
      <c r="A18" s="15" t="n">
        <v>46316</v>
      </c>
      <c r="B18" s="16" t="inlineStr">
        <is>
          <t>Wed</t>
        </is>
      </c>
      <c r="C18" s="17" t="n">
        <v>17</v>
      </c>
      <c r="D18" s="16" t="inlineStr">
        <is>
          <t>G17</t>
        </is>
      </c>
      <c r="E18" s="17" t="inlineStr">
        <is>
          <t>G15</t>
        </is>
      </c>
      <c r="F18" s="17" t="inlineStr">
        <is>
          <t>G11</t>
        </is>
      </c>
      <c r="G18" s="17" t="inlineStr">
        <is>
          <t>G5</t>
        </is>
      </c>
      <c r="H18" s="17">
        <f>COUNTIF(D18:G18,"G*")</f>
        <v/>
      </c>
      <c r="I18" s="17">
        <f>IF(D18="—",0,7)</f>
        <v/>
      </c>
      <c r="J18" s="17">
        <f>K18-I18</f>
        <v/>
      </c>
      <c r="K18" s="17">
        <f>H18*7</f>
        <v/>
      </c>
      <c r="L18" s="18" t="n"/>
      <c r="M18" s="17">
        <f>IF(L18="","",K18*L18)</f>
        <v/>
      </c>
      <c r="N18" s="18" t="n"/>
      <c r="O18" s="18" t="n"/>
      <c r="P18" s="18" t="n"/>
      <c r="Q18" s="18" t="n"/>
      <c r="R18" s="18" t="n"/>
      <c r="S18" s="19">
        <f>IF(OR(N18="",N18=0,Q18=""),"",Q18/N18)</f>
        <v/>
      </c>
      <c r="T18" s="20" t="n"/>
      <c r="U18" s="20" t="inlineStr">
        <is>
          <t>Pending</t>
        </is>
      </c>
      <c r="V18" s="20" t="n"/>
    </row>
    <row r="19">
      <c r="A19" s="21" t="n">
        <v>46317</v>
      </c>
      <c r="B19" s="22" t="inlineStr">
        <is>
          <t>Thu</t>
        </is>
      </c>
      <c r="C19" s="23" t="n">
        <v>18</v>
      </c>
      <c r="D19" s="22" t="inlineStr">
        <is>
          <t>G18</t>
        </is>
      </c>
      <c r="E19" s="23" t="inlineStr">
        <is>
          <t>G16</t>
        </is>
      </c>
      <c r="F19" s="23" t="inlineStr">
        <is>
          <t>G12</t>
        </is>
      </c>
      <c r="G19" s="23" t="inlineStr">
        <is>
          <t>G6</t>
        </is>
      </c>
      <c r="H19" s="23">
        <f>COUNTIF(D19:G19,"G*")</f>
        <v/>
      </c>
      <c r="I19" s="23">
        <f>IF(D19="—",0,7)</f>
        <v/>
      </c>
      <c r="J19" s="23">
        <f>K19-I19</f>
        <v/>
      </c>
      <c r="K19" s="23">
        <f>H19*7</f>
        <v/>
      </c>
      <c r="L19" s="18" t="n"/>
      <c r="M19" s="23">
        <f>IF(L19="","",K19*L19)</f>
        <v/>
      </c>
      <c r="N19" s="18" t="n"/>
      <c r="O19" s="18" t="n"/>
      <c r="P19" s="18" t="n"/>
      <c r="Q19" s="18" t="n"/>
      <c r="R19" s="18" t="n"/>
      <c r="S19" s="24">
        <f>IF(OR(N19="",N19=0,Q19=""),"",Q19/N19)</f>
        <v/>
      </c>
      <c r="T19" s="20" t="n"/>
      <c r="U19" s="20" t="inlineStr">
        <is>
          <t>Pending</t>
        </is>
      </c>
      <c r="V19" s="20" t="n"/>
    </row>
    <row r="20">
      <c r="A20" s="15" t="n">
        <v>46318</v>
      </c>
      <c r="B20" s="16" t="inlineStr">
        <is>
          <t>Fri</t>
        </is>
      </c>
      <c r="C20" s="17" t="n">
        <v>19</v>
      </c>
      <c r="D20" s="16" t="inlineStr">
        <is>
          <t>G19</t>
        </is>
      </c>
      <c r="E20" s="17" t="inlineStr">
        <is>
          <t>G17</t>
        </is>
      </c>
      <c r="F20" s="17" t="inlineStr">
        <is>
          <t>G13</t>
        </is>
      </c>
      <c r="G20" s="17" t="inlineStr">
        <is>
          <t>G7</t>
        </is>
      </c>
      <c r="H20" s="17">
        <f>COUNTIF(D20:G20,"G*")</f>
        <v/>
      </c>
      <c r="I20" s="17">
        <f>IF(D20="—",0,7)</f>
        <v/>
      </c>
      <c r="J20" s="17">
        <f>K20-I20</f>
        <v/>
      </c>
      <c r="K20" s="17">
        <f>H20*7</f>
        <v/>
      </c>
      <c r="L20" s="18" t="n"/>
      <c r="M20" s="17">
        <f>IF(L20="","",K20*L20)</f>
        <v/>
      </c>
      <c r="N20" s="18" t="n"/>
      <c r="O20" s="18" t="n"/>
      <c r="P20" s="18" t="n"/>
      <c r="Q20" s="18" t="n"/>
      <c r="R20" s="18" t="n"/>
      <c r="S20" s="19">
        <f>IF(OR(N20="",N20=0,Q20=""),"",Q20/N20)</f>
        <v/>
      </c>
      <c r="T20" s="20" t="n"/>
      <c r="U20" s="20" t="inlineStr">
        <is>
          <t>Pending</t>
        </is>
      </c>
      <c r="V20" s="20" t="n"/>
    </row>
    <row r="21">
      <c r="A21" s="21" t="n">
        <v>46321</v>
      </c>
      <c r="B21" s="25" t="inlineStr">
        <is>
          <t>Mon</t>
        </is>
      </c>
      <c r="C21" s="23" t="n">
        <v>20</v>
      </c>
      <c r="D21" s="22" t="inlineStr">
        <is>
          <t>G20</t>
        </is>
      </c>
      <c r="E21" s="23" t="inlineStr">
        <is>
          <t>G18</t>
        </is>
      </c>
      <c r="F21" s="23" t="inlineStr">
        <is>
          <t>G14</t>
        </is>
      </c>
      <c r="G21" s="23" t="inlineStr">
        <is>
          <t>G8</t>
        </is>
      </c>
      <c r="H21" s="23">
        <f>COUNTIF(D21:G21,"G*")</f>
        <v/>
      </c>
      <c r="I21" s="23">
        <f>IF(D21="—",0,7)</f>
        <v/>
      </c>
      <c r="J21" s="23">
        <f>K21-I21</f>
        <v/>
      </c>
      <c r="K21" s="23">
        <f>H21*7</f>
        <v/>
      </c>
      <c r="L21" s="18" t="n"/>
      <c r="M21" s="23">
        <f>IF(L21="","",K21*L21)</f>
        <v/>
      </c>
      <c r="N21" s="18" t="n"/>
      <c r="O21" s="18" t="n"/>
      <c r="P21" s="18" t="n"/>
      <c r="Q21" s="18" t="n"/>
      <c r="R21" s="18" t="n"/>
      <c r="S21" s="24">
        <f>IF(OR(N21="",N21=0,Q21=""),"",Q21/N21)</f>
        <v/>
      </c>
      <c r="T21" s="20" t="n"/>
      <c r="U21" s="20" t="inlineStr">
        <is>
          <t>Pending</t>
        </is>
      </c>
      <c r="V21" s="20" t="n"/>
    </row>
    <row r="22">
      <c r="A22" s="15" t="n">
        <v>46322</v>
      </c>
      <c r="B22" s="16" t="inlineStr">
        <is>
          <t>Tue</t>
        </is>
      </c>
      <c r="C22" s="17" t="n">
        <v>21</v>
      </c>
      <c r="D22" s="16" t="inlineStr">
        <is>
          <t>G21</t>
        </is>
      </c>
      <c r="E22" s="17" t="inlineStr">
        <is>
          <t>G19</t>
        </is>
      </c>
      <c r="F22" s="17" t="inlineStr">
        <is>
          <t>G15</t>
        </is>
      </c>
      <c r="G22" s="17" t="inlineStr">
        <is>
          <t>G9</t>
        </is>
      </c>
      <c r="H22" s="17">
        <f>COUNTIF(D22:G22,"G*")</f>
        <v/>
      </c>
      <c r="I22" s="17">
        <f>IF(D22="—",0,7)</f>
        <v/>
      </c>
      <c r="J22" s="17">
        <f>K22-I22</f>
        <v/>
      </c>
      <c r="K22" s="17">
        <f>H22*7</f>
        <v/>
      </c>
      <c r="L22" s="18" t="n"/>
      <c r="M22" s="17">
        <f>IF(L22="","",K22*L22)</f>
        <v/>
      </c>
      <c r="N22" s="18" t="n"/>
      <c r="O22" s="18" t="n"/>
      <c r="P22" s="18" t="n"/>
      <c r="Q22" s="18" t="n"/>
      <c r="R22" s="18" t="n"/>
      <c r="S22" s="19">
        <f>IF(OR(N22="",N22=0,Q22=""),"",Q22/N22)</f>
        <v/>
      </c>
      <c r="T22" s="20" t="n"/>
      <c r="U22" s="20" t="inlineStr">
        <is>
          <t>Pending</t>
        </is>
      </c>
      <c r="V22" s="20" t="n"/>
    </row>
    <row r="23">
      <c r="A23" s="21" t="n">
        <v>46323</v>
      </c>
      <c r="B23" s="22" t="inlineStr">
        <is>
          <t>Wed</t>
        </is>
      </c>
      <c r="C23" s="23" t="n">
        <v>22</v>
      </c>
      <c r="D23" s="22" t="inlineStr">
        <is>
          <t>G22</t>
        </is>
      </c>
      <c r="E23" s="23" t="inlineStr">
        <is>
          <t>G20</t>
        </is>
      </c>
      <c r="F23" s="23" t="inlineStr">
        <is>
          <t>G16</t>
        </is>
      </c>
      <c r="G23" s="23" t="inlineStr">
        <is>
          <t>G10</t>
        </is>
      </c>
      <c r="H23" s="23">
        <f>COUNTIF(D23:G23,"G*")</f>
        <v/>
      </c>
      <c r="I23" s="23">
        <f>IF(D23="—",0,7)</f>
        <v/>
      </c>
      <c r="J23" s="23">
        <f>K23-I23</f>
        <v/>
      </c>
      <c r="K23" s="23">
        <f>H23*7</f>
        <v/>
      </c>
      <c r="L23" s="18" t="n"/>
      <c r="M23" s="23">
        <f>IF(L23="","",K23*L23)</f>
        <v/>
      </c>
      <c r="N23" s="18" t="n"/>
      <c r="O23" s="18" t="n"/>
      <c r="P23" s="18" t="n"/>
      <c r="Q23" s="18" t="n"/>
      <c r="R23" s="18" t="n"/>
      <c r="S23" s="24">
        <f>IF(OR(N23="",N23=0,Q23=""),"",Q23/N23)</f>
        <v/>
      </c>
      <c r="T23" s="20" t="n"/>
      <c r="U23" s="20" t="inlineStr">
        <is>
          <t>Pending</t>
        </is>
      </c>
      <c r="V23" s="20" t="n"/>
    </row>
    <row r="24">
      <c r="A24" s="15" t="n">
        <v>46324</v>
      </c>
      <c r="B24" s="16" t="inlineStr">
        <is>
          <t>Thu</t>
        </is>
      </c>
      <c r="C24" s="17" t="n">
        <v>23</v>
      </c>
      <c r="D24" s="16" t="inlineStr">
        <is>
          <t>G23</t>
        </is>
      </c>
      <c r="E24" s="17" t="inlineStr">
        <is>
          <t>G21</t>
        </is>
      </c>
      <c r="F24" s="17" t="inlineStr">
        <is>
          <t>G17</t>
        </is>
      </c>
      <c r="G24" s="17" t="inlineStr">
        <is>
          <t>G11</t>
        </is>
      </c>
      <c r="H24" s="17">
        <f>COUNTIF(D24:G24,"G*")</f>
        <v/>
      </c>
      <c r="I24" s="17">
        <f>IF(D24="—",0,7)</f>
        <v/>
      </c>
      <c r="J24" s="17">
        <f>K24-I24</f>
        <v/>
      </c>
      <c r="K24" s="17">
        <f>H24*7</f>
        <v/>
      </c>
      <c r="L24" s="18" t="n"/>
      <c r="M24" s="17">
        <f>IF(L24="","",K24*L24)</f>
        <v/>
      </c>
      <c r="N24" s="18" t="n"/>
      <c r="O24" s="18" t="n"/>
      <c r="P24" s="18" t="n"/>
      <c r="Q24" s="18" t="n"/>
      <c r="R24" s="18" t="n"/>
      <c r="S24" s="19">
        <f>IF(OR(N24="",N24=0,Q24=""),"",Q24/N24)</f>
        <v/>
      </c>
      <c r="T24" s="20" t="n"/>
      <c r="U24" s="20" t="inlineStr">
        <is>
          <t>Pending</t>
        </is>
      </c>
      <c r="V24" s="20" t="n"/>
    </row>
    <row r="25">
      <c r="A25" s="21" t="n">
        <v>46325</v>
      </c>
      <c r="B25" s="22" t="inlineStr">
        <is>
          <t>Fri</t>
        </is>
      </c>
      <c r="C25" s="23" t="n">
        <v>24</v>
      </c>
      <c r="D25" s="22" t="inlineStr">
        <is>
          <t>G24</t>
        </is>
      </c>
      <c r="E25" s="23" t="inlineStr">
        <is>
          <t>G22</t>
        </is>
      </c>
      <c r="F25" s="23" t="inlineStr">
        <is>
          <t>G18</t>
        </is>
      </c>
      <c r="G25" s="23" t="inlineStr">
        <is>
          <t>G12</t>
        </is>
      </c>
      <c r="H25" s="23">
        <f>COUNTIF(D25:G25,"G*")</f>
        <v/>
      </c>
      <c r="I25" s="23">
        <f>IF(D25="—",0,7)</f>
        <v/>
      </c>
      <c r="J25" s="23">
        <f>K25-I25</f>
        <v/>
      </c>
      <c r="K25" s="23">
        <f>H25*7</f>
        <v/>
      </c>
      <c r="L25" s="18" t="n"/>
      <c r="M25" s="23">
        <f>IF(L25="","",K25*L25)</f>
        <v/>
      </c>
      <c r="N25" s="18" t="n"/>
      <c r="O25" s="18" t="n"/>
      <c r="P25" s="18" t="n"/>
      <c r="Q25" s="18" t="n"/>
      <c r="R25" s="18" t="n"/>
      <c r="S25" s="24">
        <f>IF(OR(N25="",N25=0,Q25=""),"",Q25/N25)</f>
        <v/>
      </c>
      <c r="T25" s="20" t="n"/>
      <c r="U25" s="20" t="inlineStr">
        <is>
          <t>Pending</t>
        </is>
      </c>
      <c r="V25" s="20" t="n"/>
    </row>
    <row r="26">
      <c r="A26" s="26" t="inlineStr">
        <is>
          <t>TOTAL</t>
        </is>
      </c>
      <c r="B26" s="27" t="n"/>
      <c r="C26" s="27" t="n"/>
      <c r="D26" s="27" t="n"/>
      <c r="E26" s="27" t="n"/>
      <c r="F26" s="27" t="n"/>
      <c r="G26" s="27" t="n"/>
      <c r="H26" s="27" t="n"/>
      <c r="I26" s="26">
        <f>SUM(I2:I25)</f>
        <v/>
      </c>
      <c r="J26" s="26">
        <f>SUM(J2:J25)</f>
        <v/>
      </c>
      <c r="K26" s="26">
        <f>SUM(K2:K25)</f>
        <v/>
      </c>
      <c r="L26" s="27" t="n"/>
      <c r="M26" s="26">
        <f>SUM(M2:M25)</f>
        <v/>
      </c>
      <c r="N26" s="26">
        <f>SUM(N2:N25)</f>
        <v/>
      </c>
      <c r="O26" s="26">
        <f>SUM(O2:O25)</f>
        <v/>
      </c>
      <c r="P26" s="26">
        <f>SUM(P2:P25)</f>
        <v/>
      </c>
      <c r="Q26" s="26">
        <f>SUM(Q2:Q25)</f>
        <v/>
      </c>
      <c r="R26" s="26">
        <f>SUM(R2:R25)</f>
        <v/>
      </c>
      <c r="S26" s="28">
        <f>IF(N26=0,"",Q26/N26)</f>
        <v/>
      </c>
      <c r="T26" s="27" t="n"/>
      <c r="U26" s="27" t="n"/>
      <c r="V26" s="27" t="n"/>
    </row>
  </sheetData>
  <conditionalFormatting sqref="A2:V25">
    <cfRule type="expression" priority="1" dxfId="0">
      <formula>$U2="Done"</formula>
    </cfRule>
  </conditionalFormatting>
  <conditionalFormatting sqref="S2:S25">
    <cfRule type="expression" priority="2" dxfId="1">
      <formula>AND(ISNUMBER($S2),$S2&gt;0.002)</formula>
    </cfRule>
  </conditionalFormatting>
  <dataValidations count="1">
    <dataValidation sqref="U2:U25" showDropDown="0" showInputMessage="0" showErrorMessage="0" allowBlank="1" type="list">
      <formula1>"Pending,Done,Partially sent,Skipped"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  <col width="11" customWidth="1" min="7" max="7"/>
    <col width="11" customWidth="1" min="8" max="8"/>
    <col width="15" customWidth="1" min="9" max="9"/>
    <col width="15" customWidth="1" min="10" max="10"/>
    <col width="15" customWidth="1" min="11" max="11"/>
    <col width="15" customWidth="1" min="12" max="12"/>
    <col width="9" customWidth="1" min="13" max="13"/>
    <col width="10" customWidth="1" min="14" max="14"/>
    <col width="12" customWidth="1" min="15" max="15"/>
    <col width="10" customWidth="1" min="16" max="16"/>
    <col width="13" customWidth="1" min="17" max="17"/>
    <col width="14" customWidth="1" min="18" max="18"/>
    <col width="30" customWidth="1" min="19" max="19"/>
  </cols>
  <sheetData>
    <row r="1" ht="42" customHeight="1">
      <c r="A1" s="6" t="inlineStr">
        <is>
          <t>Group</t>
        </is>
      </c>
      <c r="B1" s="6" t="inlineStr">
        <is>
          <t>Email 1 (Day 1)</t>
        </is>
      </c>
      <c r="C1" s="6" t="inlineStr">
        <is>
          <t>Follow-up 1 (Day 3)</t>
        </is>
      </c>
      <c r="D1" s="6" t="inlineStr">
        <is>
          <t>Follow-up 2 (Day 7)</t>
        </is>
      </c>
      <c r="E1" s="6" t="inlineStr">
        <is>
          <t>Follow-up 3 (Day 13)</t>
        </is>
      </c>
      <c r="F1" s="6" t="inlineStr">
        <is>
          <t>Prospects / inbox</t>
        </is>
      </c>
      <c r="G1" s="6" t="inlineStr">
        <is>
          <t>Live inboxes (fill in)</t>
        </is>
      </c>
      <c r="H1" s="6" t="inlineStr">
        <is>
          <t>Total prospects</t>
        </is>
      </c>
      <c r="I1" s="6" t="inlineStr">
        <is>
          <t>Email 1</t>
        </is>
      </c>
      <c r="J1" s="6" t="inlineStr">
        <is>
          <t>FU 1</t>
        </is>
      </c>
      <c r="K1" s="6" t="inlineStr">
        <is>
          <t>FU 2</t>
        </is>
      </c>
      <c r="L1" s="6" t="inlineStr">
        <is>
          <t>FU 3</t>
        </is>
      </c>
      <c r="M1" s="6" t="inlineStr">
        <is>
          <t>Replies</t>
        </is>
      </c>
      <c r="N1" s="6" t="inlineStr">
        <is>
          <t>Positive replies</t>
        </is>
      </c>
      <c r="O1" s="6" t="inlineStr">
        <is>
          <t>Moved to Reply System</t>
        </is>
      </c>
      <c r="P1" s="6" t="inlineStr">
        <is>
          <t>Calls booked</t>
        </is>
      </c>
      <c r="Q1" s="6" t="inlineStr">
        <is>
          <t>Sequence status</t>
        </is>
      </c>
      <c r="R1" s="6" t="inlineStr">
        <is>
          <t>Owner</t>
        </is>
      </c>
      <c r="S1" s="6" t="inlineStr">
        <is>
          <t>Notes</t>
        </is>
      </c>
    </row>
    <row r="2">
      <c r="A2" s="29" t="inlineStr">
        <is>
          <t>G1</t>
        </is>
      </c>
      <c r="B2" s="30" t="n">
        <v>46294</v>
      </c>
      <c r="C2" s="30">
        <f>WORKDAY(B2,2)</f>
        <v/>
      </c>
      <c r="D2" s="30">
        <f>WORKDAY(B2,6)</f>
        <v/>
      </c>
      <c r="E2" s="30">
        <f>WORKDAY(B2,12)</f>
        <v/>
      </c>
      <c r="F2" s="17" t="n">
        <v>7</v>
      </c>
      <c r="G2" s="18" t="n"/>
      <c r="H2" s="17">
        <f>IF(G2="","",F2*G2)</f>
        <v/>
      </c>
      <c r="I2" s="18" t="inlineStr">
        <is>
          <t>Pending</t>
        </is>
      </c>
      <c r="J2" s="18" t="inlineStr">
        <is>
          <t>Pending</t>
        </is>
      </c>
      <c r="K2" s="18" t="inlineStr">
        <is>
          <t>Pending</t>
        </is>
      </c>
      <c r="L2" s="18" t="inlineStr">
        <is>
          <t>Pending</t>
        </is>
      </c>
      <c r="M2" s="18" t="n"/>
      <c r="N2" s="18" t="n"/>
      <c r="O2" s="18" t="n"/>
      <c r="P2" s="18" t="n"/>
      <c r="Q2" s="18">
        <f>IF(L2="Sent","Complete",IF(I2="Pending","Not started","In progress"))</f>
        <v/>
      </c>
      <c r="R2" s="20" t="n"/>
      <c r="S2" s="20" t="n"/>
    </row>
    <row r="3">
      <c r="A3" s="31" t="inlineStr">
        <is>
          <t>G2</t>
        </is>
      </c>
      <c r="B3" s="32" t="n">
        <v>46295</v>
      </c>
      <c r="C3" s="32">
        <f>WORKDAY(B3,2)</f>
        <v/>
      </c>
      <c r="D3" s="32">
        <f>WORKDAY(B3,6)</f>
        <v/>
      </c>
      <c r="E3" s="32">
        <f>WORKDAY(B3,12)</f>
        <v/>
      </c>
      <c r="F3" s="23" t="n">
        <v>7</v>
      </c>
      <c r="G3" s="18" t="n"/>
      <c r="H3" s="23">
        <f>IF(G3="","",F3*G3)</f>
        <v/>
      </c>
      <c r="I3" s="18" t="inlineStr">
        <is>
          <t>Pending</t>
        </is>
      </c>
      <c r="J3" s="18" t="inlineStr">
        <is>
          <t>Pending</t>
        </is>
      </c>
      <c r="K3" s="18" t="inlineStr">
        <is>
          <t>Pending</t>
        </is>
      </c>
      <c r="L3" s="18" t="inlineStr">
        <is>
          <t>Pending</t>
        </is>
      </c>
      <c r="M3" s="18" t="n"/>
      <c r="N3" s="18" t="n"/>
      <c r="O3" s="18" t="n"/>
      <c r="P3" s="18" t="n"/>
      <c r="Q3" s="18">
        <f>IF(L3="Sent","Complete",IF(I3="Pending","Not started","In progress"))</f>
        <v/>
      </c>
      <c r="R3" s="20" t="n"/>
      <c r="S3" s="20" t="n"/>
    </row>
    <row r="4">
      <c r="A4" s="29" t="inlineStr">
        <is>
          <t>G3</t>
        </is>
      </c>
      <c r="B4" s="30" t="n">
        <v>46296</v>
      </c>
      <c r="C4" s="30">
        <f>WORKDAY(B4,2)</f>
        <v/>
      </c>
      <c r="D4" s="30">
        <f>WORKDAY(B4,6)</f>
        <v/>
      </c>
      <c r="E4" s="30">
        <f>WORKDAY(B4,12)</f>
        <v/>
      </c>
      <c r="F4" s="17" t="n">
        <v>7</v>
      </c>
      <c r="G4" s="18" t="n"/>
      <c r="H4" s="17">
        <f>IF(G4="","",F4*G4)</f>
        <v/>
      </c>
      <c r="I4" s="18" t="inlineStr">
        <is>
          <t>Pending</t>
        </is>
      </c>
      <c r="J4" s="18" t="inlineStr">
        <is>
          <t>Pending</t>
        </is>
      </c>
      <c r="K4" s="18" t="inlineStr">
        <is>
          <t>Pending</t>
        </is>
      </c>
      <c r="L4" s="18" t="inlineStr">
        <is>
          <t>Pending</t>
        </is>
      </c>
      <c r="M4" s="18" t="n"/>
      <c r="N4" s="18" t="n"/>
      <c r="O4" s="18" t="n"/>
      <c r="P4" s="18" t="n"/>
      <c r="Q4" s="18">
        <f>IF(L4="Sent","Complete",IF(I4="Pending","Not started","In progress"))</f>
        <v/>
      </c>
      <c r="R4" s="20" t="n"/>
      <c r="S4" s="20" t="n"/>
    </row>
    <row r="5">
      <c r="A5" s="31" t="inlineStr">
        <is>
          <t>G4</t>
        </is>
      </c>
      <c r="B5" s="32" t="n">
        <v>46297</v>
      </c>
      <c r="C5" s="32">
        <f>WORKDAY(B5,2)</f>
        <v/>
      </c>
      <c r="D5" s="32">
        <f>WORKDAY(B5,6)</f>
        <v/>
      </c>
      <c r="E5" s="32">
        <f>WORKDAY(B5,12)</f>
        <v/>
      </c>
      <c r="F5" s="23" t="n">
        <v>7</v>
      </c>
      <c r="G5" s="18" t="n"/>
      <c r="H5" s="23">
        <f>IF(G5="","",F5*G5)</f>
        <v/>
      </c>
      <c r="I5" s="18" t="inlineStr">
        <is>
          <t>Pending</t>
        </is>
      </c>
      <c r="J5" s="18" t="inlineStr">
        <is>
          <t>Pending</t>
        </is>
      </c>
      <c r="K5" s="18" t="inlineStr">
        <is>
          <t>Pending</t>
        </is>
      </c>
      <c r="L5" s="18" t="inlineStr">
        <is>
          <t>Pending</t>
        </is>
      </c>
      <c r="M5" s="18" t="n"/>
      <c r="N5" s="18" t="n"/>
      <c r="O5" s="18" t="n"/>
      <c r="P5" s="18" t="n"/>
      <c r="Q5" s="18">
        <f>IF(L5="Sent","Complete",IF(I5="Pending","Not started","In progress"))</f>
        <v/>
      </c>
      <c r="R5" s="20" t="n"/>
      <c r="S5" s="20" t="n"/>
    </row>
    <row r="6">
      <c r="A6" s="29" t="inlineStr">
        <is>
          <t>G5</t>
        </is>
      </c>
      <c r="B6" s="30" t="n">
        <v>46300</v>
      </c>
      <c r="C6" s="30">
        <f>WORKDAY(B6,2)</f>
        <v/>
      </c>
      <c r="D6" s="30">
        <f>WORKDAY(B6,6)</f>
        <v/>
      </c>
      <c r="E6" s="30">
        <f>WORKDAY(B6,12)</f>
        <v/>
      </c>
      <c r="F6" s="17" t="n">
        <v>7</v>
      </c>
      <c r="G6" s="18" t="n"/>
      <c r="H6" s="17">
        <f>IF(G6="","",F6*G6)</f>
        <v/>
      </c>
      <c r="I6" s="18" t="inlineStr">
        <is>
          <t>Pending</t>
        </is>
      </c>
      <c r="J6" s="18" t="inlineStr">
        <is>
          <t>Pending</t>
        </is>
      </c>
      <c r="K6" s="18" t="inlineStr">
        <is>
          <t>Pending</t>
        </is>
      </c>
      <c r="L6" s="18" t="inlineStr">
        <is>
          <t>Pending</t>
        </is>
      </c>
      <c r="M6" s="18" t="n"/>
      <c r="N6" s="18" t="n"/>
      <c r="O6" s="18" t="n"/>
      <c r="P6" s="18" t="n"/>
      <c r="Q6" s="18">
        <f>IF(L6="Sent","Complete",IF(I6="Pending","Not started","In progress"))</f>
        <v/>
      </c>
      <c r="R6" s="20" t="n"/>
      <c r="S6" s="20" t="n"/>
    </row>
    <row r="7">
      <c r="A7" s="31" t="inlineStr">
        <is>
          <t>G6</t>
        </is>
      </c>
      <c r="B7" s="32" t="n">
        <v>46301</v>
      </c>
      <c r="C7" s="32">
        <f>WORKDAY(B7,2)</f>
        <v/>
      </c>
      <c r="D7" s="32">
        <f>WORKDAY(B7,6)</f>
        <v/>
      </c>
      <c r="E7" s="32">
        <f>WORKDAY(B7,12)</f>
        <v/>
      </c>
      <c r="F7" s="23" t="n">
        <v>7</v>
      </c>
      <c r="G7" s="18" t="n"/>
      <c r="H7" s="23">
        <f>IF(G7="","",F7*G7)</f>
        <v/>
      </c>
      <c r="I7" s="18" t="inlineStr">
        <is>
          <t>Pending</t>
        </is>
      </c>
      <c r="J7" s="18" t="inlineStr">
        <is>
          <t>Pending</t>
        </is>
      </c>
      <c r="K7" s="18" t="inlineStr">
        <is>
          <t>Pending</t>
        </is>
      </c>
      <c r="L7" s="18" t="inlineStr">
        <is>
          <t>Pending</t>
        </is>
      </c>
      <c r="M7" s="18" t="n"/>
      <c r="N7" s="18" t="n"/>
      <c r="O7" s="18" t="n"/>
      <c r="P7" s="18" t="n"/>
      <c r="Q7" s="18">
        <f>IF(L7="Sent","Complete",IF(I7="Pending","Not started","In progress"))</f>
        <v/>
      </c>
      <c r="R7" s="20" t="n"/>
      <c r="S7" s="20" t="n"/>
    </row>
    <row r="8">
      <c r="A8" s="29" t="inlineStr">
        <is>
          <t>G7</t>
        </is>
      </c>
      <c r="B8" s="30" t="n">
        <v>46302</v>
      </c>
      <c r="C8" s="30">
        <f>WORKDAY(B8,2)</f>
        <v/>
      </c>
      <c r="D8" s="30">
        <f>WORKDAY(B8,6)</f>
        <v/>
      </c>
      <c r="E8" s="30">
        <f>WORKDAY(B8,12)</f>
        <v/>
      </c>
      <c r="F8" s="17" t="n">
        <v>7</v>
      </c>
      <c r="G8" s="18" t="n"/>
      <c r="H8" s="17">
        <f>IF(G8="","",F8*G8)</f>
        <v/>
      </c>
      <c r="I8" s="18" t="inlineStr">
        <is>
          <t>Pending</t>
        </is>
      </c>
      <c r="J8" s="18" t="inlineStr">
        <is>
          <t>Pending</t>
        </is>
      </c>
      <c r="K8" s="18" t="inlineStr">
        <is>
          <t>Pending</t>
        </is>
      </c>
      <c r="L8" s="18" t="inlineStr">
        <is>
          <t>Pending</t>
        </is>
      </c>
      <c r="M8" s="18" t="n"/>
      <c r="N8" s="18" t="n"/>
      <c r="O8" s="18" t="n"/>
      <c r="P8" s="18" t="n"/>
      <c r="Q8" s="18">
        <f>IF(L8="Sent","Complete",IF(I8="Pending","Not started","In progress"))</f>
        <v/>
      </c>
      <c r="R8" s="20" t="n"/>
      <c r="S8" s="20" t="n"/>
    </row>
    <row r="9">
      <c r="A9" s="31" t="inlineStr">
        <is>
          <t>G8</t>
        </is>
      </c>
      <c r="B9" s="32" t="n">
        <v>46303</v>
      </c>
      <c r="C9" s="32">
        <f>WORKDAY(B9,2)</f>
        <v/>
      </c>
      <c r="D9" s="32">
        <f>WORKDAY(B9,6)</f>
        <v/>
      </c>
      <c r="E9" s="32">
        <f>WORKDAY(B9,12)</f>
        <v/>
      </c>
      <c r="F9" s="23" t="n">
        <v>7</v>
      </c>
      <c r="G9" s="18" t="n"/>
      <c r="H9" s="23">
        <f>IF(G9="","",F9*G9)</f>
        <v/>
      </c>
      <c r="I9" s="18" t="inlineStr">
        <is>
          <t>Pending</t>
        </is>
      </c>
      <c r="J9" s="18" t="inlineStr">
        <is>
          <t>Pending</t>
        </is>
      </c>
      <c r="K9" s="18" t="inlineStr">
        <is>
          <t>Pending</t>
        </is>
      </c>
      <c r="L9" s="18" t="inlineStr">
        <is>
          <t>Pending</t>
        </is>
      </c>
      <c r="M9" s="18" t="n"/>
      <c r="N9" s="18" t="n"/>
      <c r="O9" s="18" t="n"/>
      <c r="P9" s="18" t="n"/>
      <c r="Q9" s="18">
        <f>IF(L9="Sent","Complete",IF(I9="Pending","Not started","In progress"))</f>
        <v/>
      </c>
      <c r="R9" s="20" t="n"/>
      <c r="S9" s="20" t="n"/>
    </row>
    <row r="10">
      <c r="A10" s="29" t="inlineStr">
        <is>
          <t>G9</t>
        </is>
      </c>
      <c r="B10" s="30" t="n">
        <v>46304</v>
      </c>
      <c r="C10" s="30">
        <f>WORKDAY(B10,2)</f>
        <v/>
      </c>
      <c r="D10" s="30">
        <f>WORKDAY(B10,6)</f>
        <v/>
      </c>
      <c r="E10" s="30">
        <f>WORKDAY(B10,12)</f>
        <v/>
      </c>
      <c r="F10" s="17" t="n">
        <v>7</v>
      </c>
      <c r="G10" s="18" t="n"/>
      <c r="H10" s="17">
        <f>IF(G10="","",F10*G10)</f>
        <v/>
      </c>
      <c r="I10" s="18" t="inlineStr">
        <is>
          <t>Pending</t>
        </is>
      </c>
      <c r="J10" s="18" t="inlineStr">
        <is>
          <t>Pending</t>
        </is>
      </c>
      <c r="K10" s="18" t="inlineStr">
        <is>
          <t>Pending</t>
        </is>
      </c>
      <c r="L10" s="18" t="inlineStr">
        <is>
          <t>Pending</t>
        </is>
      </c>
      <c r="M10" s="18" t="n"/>
      <c r="N10" s="18" t="n"/>
      <c r="O10" s="18" t="n"/>
      <c r="P10" s="18" t="n"/>
      <c r="Q10" s="18">
        <f>IF(L10="Sent","Complete",IF(I10="Pending","Not started","In progress"))</f>
        <v/>
      </c>
      <c r="R10" s="20" t="n"/>
      <c r="S10" s="20" t="n"/>
    </row>
    <row r="11">
      <c r="A11" s="31" t="inlineStr">
        <is>
          <t>G10</t>
        </is>
      </c>
      <c r="B11" s="32" t="n">
        <v>46307</v>
      </c>
      <c r="C11" s="32">
        <f>WORKDAY(B11,2)</f>
        <v/>
      </c>
      <c r="D11" s="32">
        <f>WORKDAY(B11,6)</f>
        <v/>
      </c>
      <c r="E11" s="32">
        <f>WORKDAY(B11,12)</f>
        <v/>
      </c>
      <c r="F11" s="23" t="n">
        <v>7</v>
      </c>
      <c r="G11" s="18" t="n"/>
      <c r="H11" s="23">
        <f>IF(G11="","",F11*G11)</f>
        <v/>
      </c>
      <c r="I11" s="18" t="inlineStr">
        <is>
          <t>Pending</t>
        </is>
      </c>
      <c r="J11" s="18" t="inlineStr">
        <is>
          <t>Pending</t>
        </is>
      </c>
      <c r="K11" s="18" t="inlineStr">
        <is>
          <t>Pending</t>
        </is>
      </c>
      <c r="L11" s="18" t="inlineStr">
        <is>
          <t>Pending</t>
        </is>
      </c>
      <c r="M11" s="18" t="n"/>
      <c r="N11" s="18" t="n"/>
      <c r="O11" s="18" t="n"/>
      <c r="P11" s="18" t="n"/>
      <c r="Q11" s="18">
        <f>IF(L11="Sent","Complete",IF(I11="Pending","Not started","In progress"))</f>
        <v/>
      </c>
      <c r="R11" s="20" t="n"/>
      <c r="S11" s="20" t="n"/>
    </row>
    <row r="12">
      <c r="A12" s="29" t="inlineStr">
        <is>
          <t>G11</t>
        </is>
      </c>
      <c r="B12" s="30" t="n">
        <v>46308</v>
      </c>
      <c r="C12" s="30">
        <f>WORKDAY(B12,2)</f>
        <v/>
      </c>
      <c r="D12" s="30">
        <f>WORKDAY(B12,6)</f>
        <v/>
      </c>
      <c r="E12" s="30">
        <f>WORKDAY(B12,12)</f>
        <v/>
      </c>
      <c r="F12" s="17" t="n">
        <v>7</v>
      </c>
      <c r="G12" s="18" t="n"/>
      <c r="H12" s="17">
        <f>IF(G12="","",F12*G12)</f>
        <v/>
      </c>
      <c r="I12" s="18" t="inlineStr">
        <is>
          <t>Pending</t>
        </is>
      </c>
      <c r="J12" s="18" t="inlineStr">
        <is>
          <t>Pending</t>
        </is>
      </c>
      <c r="K12" s="18" t="inlineStr">
        <is>
          <t>Pending</t>
        </is>
      </c>
      <c r="L12" s="18" t="inlineStr">
        <is>
          <t>Pending</t>
        </is>
      </c>
      <c r="M12" s="18" t="n"/>
      <c r="N12" s="18" t="n"/>
      <c r="O12" s="18" t="n"/>
      <c r="P12" s="18" t="n"/>
      <c r="Q12" s="18">
        <f>IF(L12="Sent","Complete",IF(I12="Pending","Not started","In progress"))</f>
        <v/>
      </c>
      <c r="R12" s="20" t="n"/>
      <c r="S12" s="20" t="n"/>
    </row>
    <row r="13">
      <c r="A13" s="31" t="inlineStr">
        <is>
          <t>G12</t>
        </is>
      </c>
      <c r="B13" s="32" t="n">
        <v>46309</v>
      </c>
      <c r="C13" s="32">
        <f>WORKDAY(B13,2)</f>
        <v/>
      </c>
      <c r="D13" s="32">
        <f>WORKDAY(B13,6)</f>
        <v/>
      </c>
      <c r="E13" s="32">
        <f>WORKDAY(B13,12)</f>
        <v/>
      </c>
      <c r="F13" s="23" t="n">
        <v>7</v>
      </c>
      <c r="G13" s="18" t="n"/>
      <c r="H13" s="23">
        <f>IF(G13="","",F13*G13)</f>
        <v/>
      </c>
      <c r="I13" s="18" t="inlineStr">
        <is>
          <t>Pending</t>
        </is>
      </c>
      <c r="J13" s="18" t="inlineStr">
        <is>
          <t>Pending</t>
        </is>
      </c>
      <c r="K13" s="18" t="inlineStr">
        <is>
          <t>Pending</t>
        </is>
      </c>
      <c r="L13" s="18" t="inlineStr">
        <is>
          <t>Pending</t>
        </is>
      </c>
      <c r="M13" s="18" t="n"/>
      <c r="N13" s="18" t="n"/>
      <c r="O13" s="18" t="n"/>
      <c r="P13" s="18" t="n"/>
      <c r="Q13" s="18">
        <f>IF(L13="Sent","Complete",IF(I13="Pending","Not started","In progress"))</f>
        <v/>
      </c>
      <c r="R13" s="20" t="n"/>
      <c r="S13" s="20" t="n"/>
    </row>
    <row r="14">
      <c r="A14" s="29" t="inlineStr">
        <is>
          <t>G13</t>
        </is>
      </c>
      <c r="B14" s="30" t="n">
        <v>46310</v>
      </c>
      <c r="C14" s="30">
        <f>WORKDAY(B14,2)</f>
        <v/>
      </c>
      <c r="D14" s="30">
        <f>WORKDAY(B14,6)</f>
        <v/>
      </c>
      <c r="E14" s="30">
        <f>WORKDAY(B14,12)</f>
        <v/>
      </c>
      <c r="F14" s="17" t="n">
        <v>7</v>
      </c>
      <c r="G14" s="18" t="n"/>
      <c r="H14" s="17">
        <f>IF(G14="","",F14*G14)</f>
        <v/>
      </c>
      <c r="I14" s="18" t="inlineStr">
        <is>
          <t>Pending</t>
        </is>
      </c>
      <c r="J14" s="18" t="inlineStr">
        <is>
          <t>Pending</t>
        </is>
      </c>
      <c r="K14" s="18" t="inlineStr">
        <is>
          <t>Pending</t>
        </is>
      </c>
      <c r="L14" s="18" t="inlineStr">
        <is>
          <t>Pending</t>
        </is>
      </c>
      <c r="M14" s="18" t="n"/>
      <c r="N14" s="18" t="n"/>
      <c r="O14" s="18" t="n"/>
      <c r="P14" s="18" t="n"/>
      <c r="Q14" s="18">
        <f>IF(L14="Sent","Complete",IF(I14="Pending","Not started","In progress"))</f>
        <v/>
      </c>
      <c r="R14" s="20" t="n"/>
      <c r="S14" s="20" t="n"/>
    </row>
    <row r="15">
      <c r="A15" s="31" t="inlineStr">
        <is>
          <t>G14</t>
        </is>
      </c>
      <c r="B15" s="32" t="n">
        <v>46311</v>
      </c>
      <c r="C15" s="32">
        <f>WORKDAY(B15,2)</f>
        <v/>
      </c>
      <c r="D15" s="32">
        <f>WORKDAY(B15,6)</f>
        <v/>
      </c>
      <c r="E15" s="32">
        <f>WORKDAY(B15,12)</f>
        <v/>
      </c>
      <c r="F15" s="23" t="n">
        <v>7</v>
      </c>
      <c r="G15" s="18" t="n"/>
      <c r="H15" s="23">
        <f>IF(G15="","",F15*G15)</f>
        <v/>
      </c>
      <c r="I15" s="18" t="inlineStr">
        <is>
          <t>Pending</t>
        </is>
      </c>
      <c r="J15" s="18" t="inlineStr">
        <is>
          <t>Pending</t>
        </is>
      </c>
      <c r="K15" s="18" t="inlineStr">
        <is>
          <t>Pending</t>
        </is>
      </c>
      <c r="L15" s="18" t="inlineStr">
        <is>
          <t>Pending</t>
        </is>
      </c>
      <c r="M15" s="18" t="n"/>
      <c r="N15" s="18" t="n"/>
      <c r="O15" s="18" t="n"/>
      <c r="P15" s="18" t="n"/>
      <c r="Q15" s="18">
        <f>IF(L15="Sent","Complete",IF(I15="Pending","Not started","In progress"))</f>
        <v/>
      </c>
      <c r="R15" s="20" t="n"/>
      <c r="S15" s="20" t="n"/>
    </row>
    <row r="16">
      <c r="A16" s="29" t="inlineStr">
        <is>
          <t>G15</t>
        </is>
      </c>
      <c r="B16" s="30" t="n">
        <v>46314</v>
      </c>
      <c r="C16" s="30">
        <f>WORKDAY(B16,2)</f>
        <v/>
      </c>
      <c r="D16" s="30">
        <f>WORKDAY(B16,6)</f>
        <v/>
      </c>
      <c r="E16" s="30">
        <f>WORKDAY(B16,12)</f>
        <v/>
      </c>
      <c r="F16" s="17" t="n">
        <v>7</v>
      </c>
      <c r="G16" s="18" t="n"/>
      <c r="H16" s="17">
        <f>IF(G16="","",F16*G16)</f>
        <v/>
      </c>
      <c r="I16" s="18" t="inlineStr">
        <is>
          <t>Pending</t>
        </is>
      </c>
      <c r="J16" s="18" t="inlineStr">
        <is>
          <t>Pending</t>
        </is>
      </c>
      <c r="K16" s="18" t="inlineStr">
        <is>
          <t>Pending</t>
        </is>
      </c>
      <c r="L16" s="18" t="inlineStr">
        <is>
          <t>Pending</t>
        </is>
      </c>
      <c r="M16" s="18" t="n"/>
      <c r="N16" s="18" t="n"/>
      <c r="O16" s="18" t="n"/>
      <c r="P16" s="18" t="n"/>
      <c r="Q16" s="18">
        <f>IF(L16="Sent","Complete",IF(I16="Pending","Not started","In progress"))</f>
        <v/>
      </c>
      <c r="R16" s="20" t="n"/>
      <c r="S16" s="20" t="n"/>
    </row>
    <row r="17">
      <c r="A17" s="31" t="inlineStr">
        <is>
          <t>G16</t>
        </is>
      </c>
      <c r="B17" s="32" t="n">
        <v>46315</v>
      </c>
      <c r="C17" s="32">
        <f>WORKDAY(B17,2)</f>
        <v/>
      </c>
      <c r="D17" s="32">
        <f>WORKDAY(B17,6)</f>
        <v/>
      </c>
      <c r="E17" s="32">
        <f>WORKDAY(B17,12)</f>
        <v/>
      </c>
      <c r="F17" s="23" t="n">
        <v>7</v>
      </c>
      <c r="G17" s="18" t="n"/>
      <c r="H17" s="23">
        <f>IF(G17="","",F17*G17)</f>
        <v/>
      </c>
      <c r="I17" s="18" t="inlineStr">
        <is>
          <t>Pending</t>
        </is>
      </c>
      <c r="J17" s="18" t="inlineStr">
        <is>
          <t>Pending</t>
        </is>
      </c>
      <c r="K17" s="18" t="inlineStr">
        <is>
          <t>Pending</t>
        </is>
      </c>
      <c r="L17" s="18" t="inlineStr">
        <is>
          <t>Pending</t>
        </is>
      </c>
      <c r="M17" s="18" t="n"/>
      <c r="N17" s="18" t="n"/>
      <c r="O17" s="18" t="n"/>
      <c r="P17" s="18" t="n"/>
      <c r="Q17" s="18">
        <f>IF(L17="Sent","Complete",IF(I17="Pending","Not started","In progress"))</f>
        <v/>
      </c>
      <c r="R17" s="20" t="n"/>
      <c r="S17" s="20" t="n"/>
    </row>
    <row r="18">
      <c r="A18" s="29" t="inlineStr">
        <is>
          <t>G17</t>
        </is>
      </c>
      <c r="B18" s="30" t="n">
        <v>46316</v>
      </c>
      <c r="C18" s="30">
        <f>WORKDAY(B18,2)</f>
        <v/>
      </c>
      <c r="D18" s="30">
        <f>WORKDAY(B18,6)</f>
        <v/>
      </c>
      <c r="E18" s="30">
        <f>WORKDAY(B18,12)</f>
        <v/>
      </c>
      <c r="F18" s="17" t="n">
        <v>7</v>
      </c>
      <c r="G18" s="18" t="n"/>
      <c r="H18" s="17">
        <f>IF(G18="","",F18*G18)</f>
        <v/>
      </c>
      <c r="I18" s="18" t="inlineStr">
        <is>
          <t>Pending</t>
        </is>
      </c>
      <c r="J18" s="18" t="inlineStr">
        <is>
          <t>Pending</t>
        </is>
      </c>
      <c r="K18" s="18" t="inlineStr">
        <is>
          <t>Pending</t>
        </is>
      </c>
      <c r="L18" s="18" t="inlineStr">
        <is>
          <t>Pending</t>
        </is>
      </c>
      <c r="M18" s="18" t="n"/>
      <c r="N18" s="18" t="n"/>
      <c r="O18" s="18" t="n"/>
      <c r="P18" s="18" t="n"/>
      <c r="Q18" s="18">
        <f>IF(L18="Sent","Complete",IF(I18="Pending","Not started","In progress"))</f>
        <v/>
      </c>
      <c r="R18" s="20" t="n"/>
      <c r="S18" s="20" t="n"/>
    </row>
    <row r="19">
      <c r="A19" s="31" t="inlineStr">
        <is>
          <t>G18</t>
        </is>
      </c>
      <c r="B19" s="32" t="n">
        <v>46317</v>
      </c>
      <c r="C19" s="32">
        <f>WORKDAY(B19,2)</f>
        <v/>
      </c>
      <c r="D19" s="32">
        <f>WORKDAY(B19,6)</f>
        <v/>
      </c>
      <c r="E19" s="32">
        <f>WORKDAY(B19,12)</f>
        <v/>
      </c>
      <c r="F19" s="23" t="n">
        <v>7</v>
      </c>
      <c r="G19" s="18" t="n"/>
      <c r="H19" s="23">
        <f>IF(G19="","",F19*G19)</f>
        <v/>
      </c>
      <c r="I19" s="18" t="inlineStr">
        <is>
          <t>Pending</t>
        </is>
      </c>
      <c r="J19" s="18" t="inlineStr">
        <is>
          <t>Pending</t>
        </is>
      </c>
      <c r="K19" s="18" t="inlineStr">
        <is>
          <t>Pending</t>
        </is>
      </c>
      <c r="L19" s="18" t="inlineStr">
        <is>
          <t>Pending</t>
        </is>
      </c>
      <c r="M19" s="18" t="n"/>
      <c r="N19" s="18" t="n"/>
      <c r="O19" s="18" t="n"/>
      <c r="P19" s="18" t="n"/>
      <c r="Q19" s="18">
        <f>IF(L19="Sent","Complete",IF(I19="Pending","Not started","In progress"))</f>
        <v/>
      </c>
      <c r="R19" s="20" t="n"/>
      <c r="S19" s="20" t="n"/>
    </row>
    <row r="20">
      <c r="A20" s="29" t="inlineStr">
        <is>
          <t>G19</t>
        </is>
      </c>
      <c r="B20" s="30" t="n">
        <v>46318</v>
      </c>
      <c r="C20" s="30">
        <f>WORKDAY(B20,2)</f>
        <v/>
      </c>
      <c r="D20" s="30">
        <f>WORKDAY(B20,6)</f>
        <v/>
      </c>
      <c r="E20" s="30">
        <f>WORKDAY(B20,12)</f>
        <v/>
      </c>
      <c r="F20" s="17" t="n">
        <v>7</v>
      </c>
      <c r="G20" s="18" t="n"/>
      <c r="H20" s="17">
        <f>IF(G20="","",F20*G20)</f>
        <v/>
      </c>
      <c r="I20" s="18" t="inlineStr">
        <is>
          <t>Pending</t>
        </is>
      </c>
      <c r="J20" s="18" t="inlineStr">
        <is>
          <t>Pending</t>
        </is>
      </c>
      <c r="K20" s="18" t="inlineStr">
        <is>
          <t>Pending</t>
        </is>
      </c>
      <c r="L20" s="18" t="inlineStr">
        <is>
          <t>Pending</t>
        </is>
      </c>
      <c r="M20" s="18" t="n"/>
      <c r="N20" s="18" t="n"/>
      <c r="O20" s="18" t="n"/>
      <c r="P20" s="18" t="n"/>
      <c r="Q20" s="18">
        <f>IF(L20="Sent","Complete",IF(I20="Pending","Not started","In progress"))</f>
        <v/>
      </c>
      <c r="R20" s="20" t="n"/>
      <c r="S20" s="20" t="n"/>
    </row>
    <row r="21">
      <c r="A21" s="31" t="inlineStr">
        <is>
          <t>G20</t>
        </is>
      </c>
      <c r="B21" s="32" t="n">
        <v>46321</v>
      </c>
      <c r="C21" s="32">
        <f>WORKDAY(B21,2)</f>
        <v/>
      </c>
      <c r="D21" s="32">
        <f>WORKDAY(B21,6)</f>
        <v/>
      </c>
      <c r="E21" s="32">
        <f>WORKDAY(B21,12)</f>
        <v/>
      </c>
      <c r="F21" s="23" t="n">
        <v>7</v>
      </c>
      <c r="G21" s="18" t="n"/>
      <c r="H21" s="23">
        <f>IF(G21="","",F21*G21)</f>
        <v/>
      </c>
      <c r="I21" s="18" t="inlineStr">
        <is>
          <t>Pending</t>
        </is>
      </c>
      <c r="J21" s="18" t="inlineStr">
        <is>
          <t>Pending</t>
        </is>
      </c>
      <c r="K21" s="18" t="inlineStr">
        <is>
          <t>Pending</t>
        </is>
      </c>
      <c r="L21" s="18" t="inlineStr">
        <is>
          <t>Pending</t>
        </is>
      </c>
      <c r="M21" s="18" t="n"/>
      <c r="N21" s="18" t="n"/>
      <c r="O21" s="18" t="n"/>
      <c r="P21" s="18" t="n"/>
      <c r="Q21" s="18">
        <f>IF(L21="Sent","Complete",IF(I21="Pending","Not started","In progress"))</f>
        <v/>
      </c>
      <c r="R21" s="20" t="n"/>
      <c r="S21" s="20" t="n"/>
    </row>
    <row r="22">
      <c r="A22" s="29" t="inlineStr">
        <is>
          <t>G21</t>
        </is>
      </c>
      <c r="B22" s="30" t="n">
        <v>46322</v>
      </c>
      <c r="C22" s="30">
        <f>WORKDAY(B22,2)</f>
        <v/>
      </c>
      <c r="D22" s="30">
        <f>WORKDAY(B22,6)</f>
        <v/>
      </c>
      <c r="E22" s="30">
        <f>WORKDAY(B22,12)</f>
        <v/>
      </c>
      <c r="F22" s="17" t="n">
        <v>7</v>
      </c>
      <c r="G22" s="18" t="n"/>
      <c r="H22" s="17">
        <f>IF(G22="","",F22*G22)</f>
        <v/>
      </c>
      <c r="I22" s="18" t="inlineStr">
        <is>
          <t>Pending</t>
        </is>
      </c>
      <c r="J22" s="18" t="inlineStr">
        <is>
          <t>Pending</t>
        </is>
      </c>
      <c r="K22" s="18" t="inlineStr">
        <is>
          <t>Pending</t>
        </is>
      </c>
      <c r="L22" s="18" t="inlineStr">
        <is>
          <t>Pending</t>
        </is>
      </c>
      <c r="M22" s="18" t="n"/>
      <c r="N22" s="18" t="n"/>
      <c r="O22" s="18" t="n"/>
      <c r="P22" s="18" t="n"/>
      <c r="Q22" s="18">
        <f>IF(L22="Sent","Complete",IF(I22="Pending","Not started","In progress"))</f>
        <v/>
      </c>
      <c r="R22" s="20" t="n"/>
      <c r="S22" s="20" t="n"/>
    </row>
    <row r="23">
      <c r="A23" s="31" t="inlineStr">
        <is>
          <t>G22</t>
        </is>
      </c>
      <c r="B23" s="32" t="n">
        <v>46323</v>
      </c>
      <c r="C23" s="32">
        <f>WORKDAY(B23,2)</f>
        <v/>
      </c>
      <c r="D23" s="32">
        <f>WORKDAY(B23,6)</f>
        <v/>
      </c>
      <c r="E23" s="32">
        <f>WORKDAY(B23,12)</f>
        <v/>
      </c>
      <c r="F23" s="23" t="n">
        <v>7</v>
      </c>
      <c r="G23" s="18" t="n"/>
      <c r="H23" s="23">
        <f>IF(G23="","",F23*G23)</f>
        <v/>
      </c>
      <c r="I23" s="18" t="inlineStr">
        <is>
          <t>Pending</t>
        </is>
      </c>
      <c r="J23" s="18" t="inlineStr">
        <is>
          <t>Pending</t>
        </is>
      </c>
      <c r="K23" s="18" t="inlineStr">
        <is>
          <t>Pending</t>
        </is>
      </c>
      <c r="L23" s="18" t="inlineStr">
        <is>
          <t>Pending</t>
        </is>
      </c>
      <c r="M23" s="18" t="n"/>
      <c r="N23" s="18" t="n"/>
      <c r="O23" s="18" t="n"/>
      <c r="P23" s="18" t="n"/>
      <c r="Q23" s="18">
        <f>IF(L23="Sent","Complete",IF(I23="Pending","Not started","In progress"))</f>
        <v/>
      </c>
      <c r="R23" s="20" t="n"/>
      <c r="S23" s="20" t="n"/>
    </row>
    <row r="24">
      <c r="A24" s="29" t="inlineStr">
        <is>
          <t>G23</t>
        </is>
      </c>
      <c r="B24" s="30" t="n">
        <v>46324</v>
      </c>
      <c r="C24" s="30">
        <f>WORKDAY(B24,2)</f>
        <v/>
      </c>
      <c r="D24" s="30">
        <f>WORKDAY(B24,6)</f>
        <v/>
      </c>
      <c r="E24" s="30">
        <f>WORKDAY(B24,12)</f>
        <v/>
      </c>
      <c r="F24" s="17" t="n">
        <v>7</v>
      </c>
      <c r="G24" s="18" t="n"/>
      <c r="H24" s="17">
        <f>IF(G24="","",F24*G24)</f>
        <v/>
      </c>
      <c r="I24" s="18" t="inlineStr">
        <is>
          <t>Pending</t>
        </is>
      </c>
      <c r="J24" s="18" t="inlineStr">
        <is>
          <t>Pending</t>
        </is>
      </c>
      <c r="K24" s="18" t="inlineStr">
        <is>
          <t>Pending</t>
        </is>
      </c>
      <c r="L24" s="18" t="inlineStr">
        <is>
          <t>Pending</t>
        </is>
      </c>
      <c r="M24" s="18" t="n"/>
      <c r="N24" s="18" t="n"/>
      <c r="O24" s="18" t="n"/>
      <c r="P24" s="18" t="n"/>
      <c r="Q24" s="18">
        <f>IF(L24="Sent","Complete",IF(I24="Pending","Not started","In progress"))</f>
        <v/>
      </c>
      <c r="R24" s="20" t="n"/>
      <c r="S24" s="20" t="n"/>
    </row>
    <row r="25">
      <c r="A25" s="31" t="inlineStr">
        <is>
          <t>G24</t>
        </is>
      </c>
      <c r="B25" s="32" t="n">
        <v>46325</v>
      </c>
      <c r="C25" s="32">
        <f>WORKDAY(B25,2)</f>
        <v/>
      </c>
      <c r="D25" s="32">
        <f>WORKDAY(B25,6)</f>
        <v/>
      </c>
      <c r="E25" s="32">
        <f>WORKDAY(B25,12)</f>
        <v/>
      </c>
      <c r="F25" s="23" t="n">
        <v>7</v>
      </c>
      <c r="G25" s="18" t="n"/>
      <c r="H25" s="23">
        <f>IF(G25="","",F25*G25)</f>
        <v/>
      </c>
      <c r="I25" s="18" t="inlineStr">
        <is>
          <t>Pending</t>
        </is>
      </c>
      <c r="J25" s="18" t="inlineStr">
        <is>
          <t>Pending</t>
        </is>
      </c>
      <c r="K25" s="18" t="inlineStr">
        <is>
          <t>Pending</t>
        </is>
      </c>
      <c r="L25" s="18" t="inlineStr">
        <is>
          <t>Pending</t>
        </is>
      </c>
      <c r="M25" s="18" t="n"/>
      <c r="N25" s="18" t="n"/>
      <c r="O25" s="18" t="n"/>
      <c r="P25" s="18" t="n"/>
      <c r="Q25" s="18">
        <f>IF(L25="Sent","Complete",IF(I25="Pending","Not started","In progress"))</f>
        <v/>
      </c>
      <c r="R25" s="20" t="n"/>
      <c r="S25" s="20" t="n"/>
    </row>
    <row r="26">
      <c r="A26" s="26" t="inlineStr">
        <is>
          <t>TOTAL</t>
        </is>
      </c>
      <c r="B26" s="27" t="n"/>
      <c r="C26" s="27" t="n"/>
      <c r="D26" s="27" t="n"/>
      <c r="E26" s="27" t="n"/>
      <c r="F26" s="27" t="n"/>
      <c r="G26" s="27" t="n"/>
      <c r="H26" s="26">
        <f>SUM(H2:H25)</f>
        <v/>
      </c>
      <c r="I26" s="27" t="n"/>
      <c r="J26" s="27" t="n"/>
      <c r="K26" s="27" t="n"/>
      <c r="L26" s="27" t="n"/>
      <c r="M26" s="26">
        <f>SUM(M2:M25)</f>
        <v/>
      </c>
      <c r="N26" s="26">
        <f>SUM(N2:N25)</f>
        <v/>
      </c>
      <c r="O26" s="26">
        <f>SUM(O2:O25)</f>
        <v/>
      </c>
      <c r="P26" s="26">
        <f>SUM(P2:P25)</f>
        <v/>
      </c>
      <c r="Q26" s="27" t="n"/>
      <c r="R26" s="27" t="n"/>
      <c r="S26" s="27" t="n"/>
    </row>
    <row r="28">
      <c r="A28" s="5" t="inlineStr">
        <is>
          <t>Amber dates = follow-ups that fall in November. Follow-up dates are formulas (WORKDAY), so if you move a group's start date its follow-ups move with it and weekends are still skipped.</t>
        </is>
      </c>
    </row>
  </sheetData>
  <conditionalFormatting sqref="I2:I25">
    <cfRule type="expression" priority="1" dxfId="0">
      <formula>I2="Sent"</formula>
    </cfRule>
    <cfRule type="expression" priority="2" dxfId="2">
      <formula>I2="Stopped (replied)"</formula>
    </cfRule>
  </conditionalFormatting>
  <conditionalFormatting sqref="J2:J25">
    <cfRule type="expression" priority="3" dxfId="0">
      <formula>J2="Sent"</formula>
    </cfRule>
    <cfRule type="expression" priority="4" dxfId="2">
      <formula>J2="Stopped (replied)"</formula>
    </cfRule>
  </conditionalFormatting>
  <conditionalFormatting sqref="K2:K25">
    <cfRule type="expression" priority="5" dxfId="0">
      <formula>K2="Sent"</formula>
    </cfRule>
    <cfRule type="expression" priority="6" dxfId="2">
      <formula>K2="Stopped (replied)"</formula>
    </cfRule>
  </conditionalFormatting>
  <conditionalFormatting sqref="L2:L25">
    <cfRule type="expression" priority="7" dxfId="0">
      <formula>L2="Sent"</formula>
    </cfRule>
    <cfRule type="expression" priority="8" dxfId="2">
      <formula>L2="Stopped (replied)"</formula>
    </cfRule>
  </conditionalFormatting>
  <conditionalFormatting sqref="C2:C25">
    <cfRule type="expression" priority="9" dxfId="3">
      <formula>MONTH(C2)=11</formula>
    </cfRule>
  </conditionalFormatting>
  <conditionalFormatting sqref="D2:D25">
    <cfRule type="expression" priority="10" dxfId="3">
      <formula>MONTH(D2)=11</formula>
    </cfRule>
  </conditionalFormatting>
  <conditionalFormatting sqref="E2:E25">
    <cfRule type="expression" priority="11" dxfId="3">
      <formula>MONTH(E2)=11</formula>
    </cfRule>
  </conditionalFormatting>
  <dataValidations count="1">
    <dataValidation sqref="I2:L25" showDropDown="0" showInputMessage="0" showErrorMessage="0" allowBlank="1" type="list">
      <formula1>"Pending,Sent,Stopped (replied)"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2026-09-29T09:45:05Z</dcterms:created>
  <dcterms:modified xsi:type="dcterms:W3CDTF">2026-09-29T09:45:05Z</dcterms:modified>
</cp:coreProperties>
</file>